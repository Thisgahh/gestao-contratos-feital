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F:\TI\INFRA\NF&amp;FATURAS\2026\"/>
    </mc:Choice>
  </mc:AlternateContent>
  <xr:revisionPtr revIDLastSave="0" documentId="13_ncr:1_{749F3479-0B4F-4AF3-BA52-A6B745AB02C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CONSOLIDADO" sheetId="1" r:id="rId1"/>
    <sheet name="LICENÇAS_ANUAL" sheetId="2" r:id="rId2"/>
  </sheets>
  <definedNames>
    <definedName name="_xlnm._FilterDatabase" localSheetId="0" hidden="1">CONSOLIDADO!$A$1:$O$37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39" i="1" l="1"/>
  <c r="R2" i="1"/>
  <c r="R3" i="1"/>
  <c r="R10" i="1"/>
  <c r="R12" i="1"/>
  <c r="R21" i="1"/>
  <c r="R31" i="1"/>
  <c r="R33" i="1"/>
  <c r="R34" i="1"/>
  <c r="R36" i="1"/>
  <c r="R37" i="1"/>
  <c r="R38" i="1"/>
  <c r="R11" i="1"/>
  <c r="R6" i="1"/>
  <c r="R35" i="1"/>
  <c r="R20" i="1"/>
  <c r="R7" i="1"/>
  <c r="R5" i="1"/>
  <c r="O39" i="1"/>
  <c r="N39" i="1"/>
  <c r="M39" i="1"/>
  <c r="L39" i="1"/>
  <c r="J39" i="1"/>
  <c r="I39" i="1"/>
  <c r="K22" i="1"/>
  <c r="K39" i="1" s="1"/>
  <c r="Q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  <author>Anderson Irton</author>
  </authors>
  <commentList>
    <comment ref="E10" authorId="0" shapeId="0" xr:uid="{00000000-0006-0000-0000-000001000000}">
      <text>
        <r>
          <rPr>
            <sz val="10"/>
            <rFont val="Arial"/>
            <family val="2"/>
          </rPr>
          <t xml:space="preserve">Autor desconhecido:
</t>
        </r>
        <r>
          <rPr>
            <sz val="9"/>
            <rFont val="Tahoma"/>
            <family val="2"/>
            <charset val="1"/>
          </rPr>
          <t xml:space="preserve">Anderson Irton:
Primeiro vem o boleto para o Financeiro depois vem a nota fiscal para fazer o processo de pedido
</t>
        </r>
      </text>
    </comment>
    <comment ref="C21" authorId="0" shapeId="0" xr:uid="{00000000-0006-0000-0000-000002000000}">
      <text>
        <r>
          <rPr>
            <sz val="10"/>
            <rFont val="Arial"/>
            <family val="2"/>
          </rPr>
          <t xml:space="preserve">Autor desconhecido:
</t>
        </r>
        <r>
          <rPr>
            <sz val="9"/>
            <rFont val="Tahoma"/>
            <family val="2"/>
            <charset val="1"/>
          </rPr>
          <t xml:space="preserve">Anderson Irton:
Manuela e Girlene pegam fatura n Portal
</t>
        </r>
      </text>
    </comment>
    <comment ref="K22" authorId="1" shapeId="0" xr:uid="{00000000-0006-0000-0000-000003000000}">
      <text>
        <r>
          <rPr>
            <sz val="10"/>
            <rFont val="Arial"/>
            <family val="2"/>
          </rPr>
          <t xml:space="preserve">Anderson Irton:
</t>
        </r>
        <r>
          <rPr>
            <sz val="9"/>
            <color rgb="FF000000"/>
            <rFont val="Segoe UI"/>
            <family val="2"/>
          </rPr>
          <t>Faturas de Janeiro e Fevereiro</t>
        </r>
      </text>
    </comment>
    <comment ref="E23" authorId="0" shapeId="0" xr:uid="{00000000-0006-0000-0000-000004000000}">
      <text>
        <r>
          <rPr>
            <sz val="10"/>
            <rFont val="Arial"/>
            <family val="2"/>
          </rPr>
          <t xml:space="preserve">Autor desconhecido:
</t>
        </r>
        <r>
          <rPr>
            <sz val="9"/>
            <rFont val="Tahoma"/>
            <family val="2"/>
            <charset val="1"/>
          </rPr>
          <t xml:space="preserve">Anderson Irton:
LOGIN: anderson.irton@feital.com.br
SENHA: Feital@@2023!
</t>
        </r>
      </text>
    </comment>
  </commentList>
</comments>
</file>

<file path=xl/sharedStrings.xml><?xml version="1.0" encoding="utf-8"?>
<sst xmlns="http://schemas.openxmlformats.org/spreadsheetml/2006/main" count="329" uniqueCount="116">
  <si>
    <t>LOCAL</t>
  </si>
  <si>
    <t>FATURAMENTO</t>
  </si>
  <si>
    <t>PRESTADOR</t>
  </si>
  <si>
    <t>TIPO DE ENVIO</t>
  </si>
  <si>
    <t>SERVIÇO</t>
  </si>
  <si>
    <t>DT. EMISSÃO NF</t>
  </si>
  <si>
    <t>VENC.</t>
  </si>
  <si>
    <t>CONTA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</si>
  <si>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</si>
  <si>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</si>
  <si>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</si>
  <si>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</si>
  <si>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</si>
  <si>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</si>
  <si>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</si>
  <si>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</si>
  <si>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</si>
  <si>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</si>
  <si>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</si>
  <si>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MATRIZ</t>
  </si>
  <si>
    <t>WCS (FLUXO)</t>
  </si>
  <si>
    <t>COBRAR EMAIL</t>
  </si>
  <si>
    <t>WCS INTERNET VIA RÁDIO</t>
  </si>
  <si>
    <t>-</t>
  </si>
  <si>
    <t>KTREE</t>
  </si>
  <si>
    <t>EMAIL</t>
  </si>
  <si>
    <t>PENSOMAIL STANDARD 25 GB                                                    PENSOMAIL PROFISSIONAL 50 GB                                          PENSOMAIL PROFISSIONAL 100 GB                                                         VEEM BACKUP</t>
  </si>
  <si>
    <t>5</t>
  </si>
  <si>
    <t>POA</t>
  </si>
  <si>
    <t>VIVO</t>
  </si>
  <si>
    <t>PORTAL</t>
  </si>
  <si>
    <t>INTERNET 10MB</t>
  </si>
  <si>
    <t>TAGUS</t>
  </si>
  <si>
    <t>ENTRAR SITE</t>
  </si>
  <si>
    <t>SUPORTE E MANUTENÇÃO RELOGIOS DE PONTO</t>
  </si>
  <si>
    <t>RAMO</t>
  </si>
  <si>
    <t>ENHANCEMENT PLAN SAP (2021) e MANUTENÇÃO MENSAL ADD-ONS PAGBANK, COMISSÃO, TAX ONE e B1 PLUS</t>
  </si>
  <si>
    <t>SUPORTE TECNICO AO CLIENTE</t>
  </si>
  <si>
    <t>RENOVAÇÃO LICENÇA</t>
  </si>
  <si>
    <t>15</t>
  </si>
  <si>
    <t>HIVECLOUD</t>
  </si>
  <si>
    <t>EMAIL/EMERSON OU TONINHO</t>
  </si>
  <si>
    <t>EMISSÃO DOCUMENTO DE TRANSPORTE</t>
  </si>
  <si>
    <t>ALLNET</t>
  </si>
  <si>
    <t>SUPORTE TELEFONIA 3CX</t>
  </si>
  <si>
    <t>ARQUIVEI</t>
  </si>
  <si>
    <t>SINCRONIZADOR DE NOTAS FISCAIS</t>
  </si>
  <si>
    <t>13</t>
  </si>
  <si>
    <t>BHE</t>
  </si>
  <si>
    <t>TELEFONIA MÓVEL</t>
  </si>
  <si>
    <t>REC</t>
  </si>
  <si>
    <t>RJO</t>
  </si>
  <si>
    <t>VIVO BOX</t>
  </si>
  <si>
    <t>MONITORA DADOS E VIVO MSS BÁSICO</t>
  </si>
  <si>
    <t>DIRECTCALL</t>
  </si>
  <si>
    <t>PORTAL OU EMIAL</t>
  </si>
  <si>
    <t>DIRECTCALL TELEFONIA NUVEM FILIAL MATRIZ/FILIAIS</t>
  </si>
  <si>
    <t>EMBRATEL</t>
  </si>
  <si>
    <t>LINK DEDICADO EMBRATEL INTERNET 10MB</t>
  </si>
  <si>
    <t>00000034742-0013</t>
  </si>
  <si>
    <t>BLIP</t>
  </si>
  <si>
    <t>LICENCIAMENTO USO WHATSAPP</t>
  </si>
  <si>
    <t>ALGAR</t>
  </si>
  <si>
    <t>INTERNET LINK DEDICADO ALGAR 50MB</t>
  </si>
  <si>
    <t>STARLINK</t>
  </si>
  <si>
    <t>PROTAL</t>
  </si>
  <si>
    <t>LINK DE INTERNET SATÉLITE STARLINK</t>
  </si>
  <si>
    <t>12</t>
  </si>
  <si>
    <t>IP DEDICADO INTERNET 400MB</t>
  </si>
  <si>
    <t>IP DEDICADO INTERNET 20MB</t>
  </si>
  <si>
    <t>MONITORA DADOS</t>
  </si>
  <si>
    <t>BACKUP DE ARQUIVOS</t>
  </si>
  <si>
    <t>SERVIÇO DE BACKUPS DE ARQUIVOS NA NUVEM</t>
  </si>
  <si>
    <t>29</t>
  </si>
  <si>
    <t>REGISTO.BR</t>
  </si>
  <si>
    <t xml:space="preserve">RENOVAÇÃO CERTIFICADO INOXTECH 10 ano(s), de 2025-07-07 até 2035-07-06
</t>
  </si>
  <si>
    <t>18</t>
  </si>
  <si>
    <t>COULT</t>
  </si>
  <si>
    <t>ASSINATURA MICROSOFT 365 BUSINESS BASIC ASSINATURA EXCHANGE ONLINE KIOSK        ASSINATURA EXCHANGE ONLINE (PLAN1)</t>
  </si>
  <si>
    <t>SUPORTE DE T.I</t>
  </si>
  <si>
    <t>INGRAM</t>
  </si>
  <si>
    <t>AWS SERVIÇOS NA NUVEM BACKUP E SITE FEITAL</t>
  </si>
  <si>
    <t>PRONTOIT</t>
  </si>
  <si>
    <t>LOCAÇÃO DE EQUIPAMENTOS DE FIREWALL</t>
  </si>
  <si>
    <t>PRONTO SECURITY (LICENÇA DE USO DE SOFTWARE)</t>
  </si>
  <si>
    <t>DIGITAL</t>
  </si>
  <si>
    <t>ALGUEL IMPRESSORAS E IMPRESSÕES</t>
  </si>
  <si>
    <t>TOTAL</t>
  </si>
  <si>
    <t>CONTA VEM RETROATIVA</t>
  </si>
  <si>
    <t>FALTA A NOTA FISCAL</t>
  </si>
  <si>
    <t>ALGUMA DIVERGENCIA</t>
  </si>
  <si>
    <t>VENCIMENTO</t>
  </si>
  <si>
    <t>VALOR PAGO ANO ANTERIOR</t>
  </si>
  <si>
    <t>VALOR ATUAL</t>
  </si>
  <si>
    <t>SOLITAR NO PORTAL</t>
  </si>
  <si>
    <t>LICENÇA DE USO DO SOFTWARE KAIRÓS</t>
  </si>
  <si>
    <t>LICENÇA DE USO DO SOFTWARE 3CX</t>
  </si>
  <si>
    <t>AX4B</t>
  </si>
  <si>
    <t>ASSINATURA ACROBAT PRO ANUAL</t>
  </si>
  <si>
    <t>ADISTEC</t>
  </si>
  <si>
    <t>LICENÇA DE USO SOFTWARE VEEM BACKUP</t>
  </si>
  <si>
    <t>REGISTRO.BR</t>
  </si>
  <si>
    <t xml:space="preserve">RENOVAÇÃO REGISTRO DOMINIO:  feital.net.br, inox-tech.net.br, fittinox.net.br, tubra.net.br, grupofeital.net.br </t>
  </si>
  <si>
    <t>19</t>
  </si>
  <si>
    <t>22</t>
  </si>
  <si>
    <t>RENOVAÇÃO CERTIFICADO INOXTECH 10 ano(s), de 2025-07-07 até 2035-07-06</t>
  </si>
  <si>
    <t>17</t>
  </si>
  <si>
    <t>IMPLANTAÇÃO DAS API'S PARA O BANKPLUS</t>
  </si>
  <si>
    <t>SND/COULT</t>
  </si>
  <si>
    <t>VERO</t>
  </si>
  <si>
    <t>NUBLLAR</t>
  </si>
  <si>
    <t>MONITORAMENTO DE SERVIDORES</t>
  </si>
  <si>
    <t>20</t>
  </si>
  <si>
    <t xml:space="preserve">INTERNET DEDICADA </t>
  </si>
  <si>
    <t>04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</si>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</sst>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24" x14ac:knownFonts="1">
    <font>
      <sz val="10"/>
      <color theme="1"/>
      <name val="Arial"/>
      <charset val="1"/>
    </font>
    <font>
      <sz val="10"/>
      <color rgb="FFFFFFFF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b/>
      <sz val="24"/>
      <name val="Arial"/>
      <family val="2"/>
      <charset val="1"/>
    </font>
    <font>
      <sz val="11"/>
      <name val="Calibri"/>
      <family val="2"/>
      <charset val="1"/>
    </font>
    <font>
      <b/>
      <i/>
      <u/>
      <sz val="10"/>
      <name val="Arial"/>
      <family val="2"/>
      <charset val="1"/>
    </font>
    <font>
      <sz val="10"/>
      <color rgb="FFCC0000"/>
      <name val="Arial"/>
      <family val="2"/>
      <charset val="1"/>
    </font>
    <font>
      <b/>
      <sz val="11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13"/>
      <name val="Arial"/>
      <family val="2"/>
      <charset val="1"/>
    </font>
    <font>
      <sz val="10"/>
      <name val="Arial"/>
      <family val="2"/>
    </font>
    <font>
      <sz val="9"/>
      <name val="Tahoma"/>
      <family val="2"/>
      <charset val="1"/>
    </font>
    <font>
      <u/>
      <sz val="10"/>
      <color theme="10"/>
      <name val="Arial"/>
      <charset val="1"/>
    </font>
    <font>
      <sz val="10"/>
      <color rgb="FF000000"/>
      <name val="Arial"/>
      <family val="2"/>
    </font>
    <font>
      <sz val="9"/>
      <color rgb="FF000000"/>
      <name val="Segoe UI"/>
      <family val="2"/>
    </font>
    <font>
      <sz val="10"/>
      <color rgb="FFFF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CC0000"/>
        <bgColor rgb="FFFF0000"/>
      </patternFill>
    </fill>
    <fill>
      <patternFill patternType="solid">
        <fgColor rgb="FF92D050"/>
        <bgColor rgb="FFBFBFBF"/>
      </patternFill>
    </fill>
    <fill>
      <patternFill patternType="solid">
        <fgColor theme="0" tint="-0.249977111117893"/>
        <bgColor rgb="FFDDDDDD"/>
      </patternFill>
    </fill>
    <fill>
      <patternFill patternType="solid">
        <fgColor rgb="FFFF0000"/>
        <bgColor rgb="FFCC0000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C0000"/>
      </patternFill>
    </fill>
    <fill>
      <patternFill patternType="solid">
        <fgColor theme="0"/>
        <bgColor rgb="FFDDDDDD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164" fontId="2" fillId="0" borderId="0" applyBorder="0" applyProtection="0"/>
    <xf numFmtId="0" fontId="1" fillId="2" borderId="0" applyBorder="0" applyProtection="0"/>
    <xf numFmtId="0" fontId="1" fillId="3" borderId="0" applyBorder="0" applyProtection="0"/>
    <xf numFmtId="0" fontId="2" fillId="4" borderId="0" applyBorder="0" applyProtection="0"/>
    <xf numFmtId="0" fontId="3" fillId="0" borderId="0" applyBorder="0" applyProtection="0"/>
    <xf numFmtId="0" fontId="4" fillId="5" borderId="0" applyBorder="0" applyProtection="0"/>
    <xf numFmtId="0" fontId="5" fillId="0" borderId="0" applyBorder="0" applyProtection="0"/>
    <xf numFmtId="0" fontId="6" fillId="0" borderId="0" applyBorder="0" applyProtection="0"/>
    <xf numFmtId="0" fontId="7" fillId="0" borderId="0" applyBorder="0" applyProtection="0"/>
    <xf numFmtId="0" fontId="8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9" fillId="0" borderId="0" applyBorder="0" applyProtection="0"/>
    <xf numFmtId="0" fontId="17" fillId="0" borderId="0" applyNumberFormat="0" applyFill="0" applyBorder="0" applyAlignment="0" applyProtection="0"/>
  </cellStyleXfs>
  <cellXfs count="131">
    <xf numFmtId="0" fontId="0" fillId="0" borderId="0" xfId="0"/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horizontal="left"/>
    </xf>
    <xf numFmtId="49" fontId="3" fillId="0" borderId="0" xfId="0" applyNumberFormat="1" applyFont="1" applyAlignment="1">
      <alignment horizontal="center"/>
    </xf>
    <xf numFmtId="164" fontId="0" fillId="0" borderId="0" xfId="1" applyFont="1" applyBorder="1" applyProtection="1"/>
    <xf numFmtId="49" fontId="10" fillId="6" borderId="1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6" borderId="3" xfId="0" applyNumberFormat="1" applyFont="1" applyFill="1" applyBorder="1" applyAlignment="1">
      <alignment horizontal="center" vertical="center"/>
    </xf>
    <xf numFmtId="49" fontId="10" fillId="6" borderId="3" xfId="0" applyNumberFormat="1" applyFont="1" applyFill="1" applyBorder="1" applyAlignment="1">
      <alignment horizontal="center"/>
    </xf>
    <xf numFmtId="49" fontId="10" fillId="6" borderId="4" xfId="0" applyNumberFormat="1" applyFont="1" applyFill="1" applyBorder="1" applyAlignment="1">
      <alignment horizontal="left"/>
    </xf>
    <xf numFmtId="49" fontId="10" fillId="6" borderId="5" xfId="0" applyNumberFormat="1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164" fontId="10" fillId="6" borderId="3" xfId="1" applyFont="1" applyFill="1" applyBorder="1" applyAlignment="1" applyProtection="1">
      <alignment horizontal="center"/>
    </xf>
    <xf numFmtId="164" fontId="10" fillId="6" borderId="4" xfId="1" applyFont="1" applyFill="1" applyBorder="1" applyAlignment="1" applyProtection="1">
      <alignment horizontal="center"/>
    </xf>
    <xf numFmtId="49" fontId="10" fillId="7" borderId="7" xfId="0" applyNumberFormat="1" applyFont="1" applyFill="1" applyBorder="1" applyAlignment="1">
      <alignment horizontal="center" vertical="center"/>
    </xf>
    <xf numFmtId="49" fontId="10" fillId="7" borderId="8" xfId="0" applyNumberFormat="1" applyFont="1" applyFill="1" applyBorder="1" applyAlignment="1">
      <alignment horizontal="center" vertical="center"/>
    </xf>
    <xf numFmtId="49" fontId="7" fillId="7" borderId="9" xfId="0" applyNumberFormat="1" applyFont="1" applyFill="1" applyBorder="1" applyAlignment="1">
      <alignment horizontal="center" vertical="center"/>
    </xf>
    <xf numFmtId="49" fontId="7" fillId="7" borderId="10" xfId="0" applyNumberFormat="1" applyFont="1" applyFill="1" applyBorder="1" applyAlignment="1">
      <alignment horizontal="left" vertical="center" wrapText="1"/>
    </xf>
    <xf numFmtId="0" fontId="11" fillId="7" borderId="10" xfId="0" applyFont="1" applyFill="1" applyBorder="1" applyAlignment="1">
      <alignment horizontal="center" vertical="center" wrapText="1"/>
    </xf>
    <xf numFmtId="49" fontId="12" fillId="7" borderId="10" xfId="0" applyNumberFormat="1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164" fontId="7" fillId="7" borderId="10" xfId="1" applyFont="1" applyFill="1" applyBorder="1" applyAlignment="1" applyProtection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64" fontId="7" fillId="7" borderId="10" xfId="1" applyFont="1" applyFill="1" applyBorder="1" applyAlignment="1" applyProtection="1">
      <alignment horizontal="right" vertical="center"/>
    </xf>
    <xf numFmtId="0" fontId="0" fillId="0" borderId="0" xfId="0" applyAlignment="1">
      <alignment vertical="center"/>
    </xf>
    <xf numFmtId="0" fontId="12" fillId="7" borderId="10" xfId="0" applyFont="1" applyFill="1" applyBorder="1" applyAlignment="1">
      <alignment horizontal="center" vertical="center"/>
    </xf>
    <xf numFmtId="49" fontId="11" fillId="7" borderId="10" xfId="0" applyNumberFormat="1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0" fillId="7" borderId="15" xfId="0" applyNumberFormat="1" applyFont="1" applyFill="1" applyBorder="1" applyAlignment="1">
      <alignment horizontal="center" vertical="center"/>
    </xf>
    <xf numFmtId="49" fontId="10" fillId="7" borderId="16" xfId="0" applyNumberFormat="1" applyFont="1" applyFill="1" applyBorder="1" applyAlignment="1">
      <alignment horizontal="center" vertical="center"/>
    </xf>
    <xf numFmtId="49" fontId="7" fillId="7" borderId="17" xfId="0" applyNumberFormat="1" applyFont="1" applyFill="1" applyBorder="1" applyAlignment="1">
      <alignment horizontal="center" vertical="center"/>
    </xf>
    <xf numFmtId="49" fontId="7" fillId="7" borderId="18" xfId="0" applyNumberFormat="1" applyFont="1" applyFill="1" applyBorder="1" applyAlignment="1">
      <alignment horizontal="left" vertical="center" wrapText="1"/>
    </xf>
    <xf numFmtId="49" fontId="11" fillId="7" borderId="18" xfId="0" applyNumberFormat="1" applyFont="1" applyFill="1" applyBorder="1" applyAlignment="1">
      <alignment horizontal="center" vertical="center" wrapText="1"/>
    </xf>
    <xf numFmtId="49" fontId="12" fillId="7" borderId="18" xfId="0" applyNumberFormat="1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164" fontId="7" fillId="7" borderId="13" xfId="1" applyFont="1" applyFill="1" applyBorder="1" applyAlignment="1" applyProtection="1">
      <alignment horizontal="center" vertical="center"/>
    </xf>
    <xf numFmtId="49" fontId="11" fillId="7" borderId="12" xfId="0" applyNumberFormat="1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 wrapText="1"/>
    </xf>
    <xf numFmtId="1" fontId="7" fillId="7" borderId="9" xfId="0" applyNumberFormat="1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 wrapText="1"/>
    </xf>
    <xf numFmtId="49" fontId="12" fillId="7" borderId="19" xfId="0" applyNumberFormat="1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164" fontId="7" fillId="7" borderId="19" xfId="1" applyFont="1" applyFill="1" applyBorder="1" applyAlignment="1" applyProtection="1">
      <alignment horizontal="center" vertical="center"/>
    </xf>
    <xf numFmtId="49" fontId="11" fillId="7" borderId="19" xfId="0" applyNumberFormat="1" applyFont="1" applyFill="1" applyBorder="1" applyAlignment="1">
      <alignment horizontal="center" vertical="center" wrapText="1"/>
    </xf>
    <xf numFmtId="0" fontId="12" fillId="7" borderId="19" xfId="0" applyFont="1" applyFill="1" applyBorder="1" applyAlignment="1">
      <alignment horizontal="center" vertical="center"/>
    </xf>
    <xf numFmtId="49" fontId="0" fillId="0" borderId="0" xfId="0" applyNumberFormat="1" applyAlignment="1">
      <alignment horizontal="left" wrapText="1"/>
    </xf>
    <xf numFmtId="49" fontId="3" fillId="0" borderId="0" xfId="0" applyNumberFormat="1" applyFont="1" applyAlignment="1">
      <alignment horizontal="center" wrapText="1"/>
    </xf>
    <xf numFmtId="0" fontId="14" fillId="0" borderId="0" xfId="0" applyFont="1"/>
    <xf numFmtId="0" fontId="0" fillId="10" borderId="0" xfId="0" applyFill="1"/>
    <xf numFmtId="49" fontId="3" fillId="0" borderId="0" xfId="0" applyNumberFormat="1" applyFont="1" applyAlignment="1">
      <alignment horizontal="left" vertical="center"/>
    </xf>
    <xf numFmtId="0" fontId="0" fillId="9" borderId="0" xfId="0" applyFill="1"/>
    <xf numFmtId="0" fontId="0" fillId="8" borderId="0" xfId="0" applyFill="1"/>
    <xf numFmtId="164" fontId="0" fillId="0" borderId="0" xfId="1" applyFont="1" applyBorder="1" applyAlignment="1" applyProtection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1" applyNumberFormat="1" applyBorder="1" applyProtection="1"/>
    <xf numFmtId="2" fontId="2" fillId="0" borderId="0" xfId="1" applyNumberFormat="1" applyBorder="1" applyProtection="1"/>
    <xf numFmtId="49" fontId="10" fillId="6" borderId="20" xfId="0" applyNumberFormat="1" applyFont="1" applyFill="1" applyBorder="1" applyAlignment="1">
      <alignment horizontal="center" vertical="center"/>
    </xf>
    <xf numFmtId="49" fontId="10" fillId="6" borderId="21" xfId="0" applyNumberFormat="1" applyFont="1" applyFill="1" applyBorder="1" applyAlignment="1">
      <alignment horizontal="center"/>
    </xf>
    <xf numFmtId="49" fontId="10" fillId="6" borderId="4" xfId="0" applyNumberFormat="1" applyFont="1" applyFill="1" applyBorder="1" applyAlignment="1">
      <alignment horizontal="center"/>
    </xf>
    <xf numFmtId="49" fontId="10" fillId="6" borderId="6" xfId="0" applyNumberFormat="1" applyFont="1" applyFill="1" applyBorder="1" applyAlignment="1">
      <alignment horizontal="center"/>
    </xf>
    <xf numFmtId="49" fontId="10" fillId="7" borderId="22" xfId="0" applyNumberFormat="1" applyFont="1" applyFill="1" applyBorder="1" applyAlignment="1">
      <alignment horizontal="center" vertical="center"/>
    </xf>
    <xf numFmtId="49" fontId="10" fillId="7" borderId="23" xfId="0" applyNumberFormat="1" applyFont="1" applyFill="1" applyBorder="1" applyAlignment="1">
      <alignment horizontal="center" vertical="center"/>
    </xf>
    <xf numFmtId="49" fontId="10" fillId="7" borderId="24" xfId="0" applyNumberFormat="1" applyFont="1" applyFill="1" applyBorder="1" applyAlignment="1">
      <alignment horizontal="center" vertical="center"/>
    </xf>
    <xf numFmtId="49" fontId="7" fillId="7" borderId="22" xfId="0" applyNumberFormat="1" applyFont="1" applyFill="1" applyBorder="1" applyAlignment="1">
      <alignment horizontal="center" vertical="center"/>
    </xf>
    <xf numFmtId="49" fontId="7" fillId="7" borderId="19" xfId="0" applyNumberFormat="1" applyFont="1" applyFill="1" applyBorder="1" applyAlignment="1">
      <alignment horizontal="left" vertical="center" wrapText="1"/>
    </xf>
    <xf numFmtId="0" fontId="10" fillId="7" borderId="19" xfId="0" applyFont="1" applyFill="1" applyBorder="1" applyAlignment="1">
      <alignment horizontal="center" vertical="center"/>
    </xf>
    <xf numFmtId="164" fontId="2" fillId="0" borderId="19" xfId="1" applyBorder="1" applyProtection="1"/>
    <xf numFmtId="164" fontId="2" fillId="0" borderId="14" xfId="1" applyBorder="1" applyProtection="1"/>
    <xf numFmtId="49" fontId="10" fillId="7" borderId="25" xfId="0" applyNumberFormat="1" applyFont="1" applyFill="1" applyBorder="1" applyAlignment="1">
      <alignment horizontal="center" vertical="center"/>
    </xf>
    <xf numFmtId="49" fontId="7" fillId="7" borderId="7" xfId="0" applyNumberFormat="1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164" fontId="2" fillId="0" borderId="10" xfId="1" applyBorder="1" applyProtection="1"/>
    <xf numFmtId="164" fontId="2" fillId="0" borderId="11" xfId="1" applyBorder="1" applyProtection="1"/>
    <xf numFmtId="164" fontId="2" fillId="0" borderId="12" xfId="1" applyBorder="1" applyProtection="1"/>
    <xf numFmtId="49" fontId="10" fillId="7" borderId="26" xfId="0" applyNumberFormat="1" applyFont="1" applyFill="1" applyBorder="1" applyAlignment="1">
      <alignment horizontal="center" vertical="center"/>
    </xf>
    <xf numFmtId="164" fontId="2" fillId="0" borderId="10" xfId="1" applyBorder="1" applyAlignment="1" applyProtection="1">
      <alignment horizontal="right"/>
    </xf>
    <xf numFmtId="164" fontId="7" fillId="11" borderId="10" xfId="1" applyFont="1" applyFill="1" applyBorder="1" applyAlignment="1" applyProtection="1">
      <alignment horizontal="center" vertical="center"/>
    </xf>
    <xf numFmtId="164" fontId="7" fillId="12" borderId="10" xfId="1" applyFont="1" applyFill="1" applyBorder="1" applyAlignment="1" applyProtection="1">
      <alignment horizontal="center" vertical="center"/>
    </xf>
    <xf numFmtId="164" fontId="7" fillId="12" borderId="19" xfId="1" applyFont="1" applyFill="1" applyBorder="1" applyAlignment="1" applyProtection="1">
      <alignment horizontal="center" vertical="center"/>
    </xf>
    <xf numFmtId="164" fontId="7" fillId="13" borderId="10" xfId="1" applyFont="1" applyFill="1" applyBorder="1" applyAlignment="1" applyProtection="1">
      <alignment horizontal="center" vertical="center"/>
    </xf>
    <xf numFmtId="0" fontId="0" fillId="0" borderId="10" xfId="0" applyBorder="1"/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49" fontId="7" fillId="7" borderId="10" xfId="0" applyNumberFormat="1" applyFont="1" applyFill="1" applyBorder="1" applyAlignment="1">
      <alignment horizontal="left" vertical="center"/>
    </xf>
    <xf numFmtId="0" fontId="17" fillId="0" borderId="10" xfId="14" applyBorder="1" applyAlignment="1">
      <alignment vertical="center"/>
    </xf>
    <xf numFmtId="0" fontId="17" fillId="0" borderId="10" xfId="14" applyBorder="1"/>
    <xf numFmtId="0" fontId="14" fillId="0" borderId="10" xfId="0" applyFont="1" applyBorder="1"/>
    <xf numFmtId="0" fontId="20" fillId="0" borderId="10" xfId="0" applyFont="1" applyBorder="1"/>
    <xf numFmtId="49" fontId="11" fillId="7" borderId="29" xfId="0" applyNumberFormat="1" applyFont="1" applyFill="1" applyBorder="1" applyAlignment="1">
      <alignment horizontal="center" vertical="center" wrapText="1"/>
    </xf>
    <xf numFmtId="164" fontId="7" fillId="7" borderId="18" xfId="1" applyFont="1" applyFill="1" applyBorder="1" applyAlignment="1" applyProtection="1">
      <alignment horizontal="center" vertical="center"/>
    </xf>
    <xf numFmtId="164" fontId="7" fillId="12" borderId="18" xfId="1" applyFont="1" applyFill="1" applyBorder="1" applyAlignment="1" applyProtection="1">
      <alignment horizontal="center" vertical="center"/>
    </xf>
    <xf numFmtId="0" fontId="14" fillId="6" borderId="30" xfId="0" applyFont="1" applyFill="1" applyBorder="1"/>
    <xf numFmtId="49" fontId="14" fillId="6" borderId="31" xfId="0" applyNumberFormat="1" applyFont="1" applyFill="1" applyBorder="1" applyAlignment="1">
      <alignment horizontal="center" vertical="center"/>
    </xf>
    <xf numFmtId="49" fontId="14" fillId="6" borderId="31" xfId="0" applyNumberFormat="1" applyFont="1" applyFill="1" applyBorder="1" applyAlignment="1">
      <alignment vertical="center"/>
    </xf>
    <xf numFmtId="0" fontId="14" fillId="6" borderId="31" xfId="0" applyFont="1" applyFill="1" applyBorder="1"/>
    <xf numFmtId="49" fontId="14" fillId="6" borderId="31" xfId="0" applyNumberFormat="1" applyFont="1" applyFill="1" applyBorder="1"/>
    <xf numFmtId="49" fontId="14" fillId="6" borderId="31" xfId="0" applyNumberFormat="1" applyFont="1" applyFill="1" applyBorder="1" applyAlignment="1">
      <alignment horizontal="left" wrapText="1"/>
    </xf>
    <xf numFmtId="49" fontId="14" fillId="6" borderId="31" xfId="0" applyNumberFormat="1" applyFont="1" applyFill="1" applyBorder="1" applyAlignment="1">
      <alignment horizontal="center" wrapText="1"/>
    </xf>
    <xf numFmtId="164" fontId="14" fillId="6" borderId="31" xfId="1" applyFont="1" applyFill="1" applyBorder="1" applyProtection="1"/>
    <xf numFmtId="49" fontId="21" fillId="7" borderId="11" xfId="0" applyNumberFormat="1" applyFont="1" applyFill="1" applyBorder="1" applyAlignment="1">
      <alignment horizontal="center" vertical="center"/>
    </xf>
    <xf numFmtId="49" fontId="21" fillId="7" borderId="25" xfId="0" applyNumberFormat="1" applyFont="1" applyFill="1" applyBorder="1" applyAlignment="1">
      <alignment horizontal="left" vertical="center"/>
    </xf>
    <xf numFmtId="49" fontId="21" fillId="7" borderId="12" xfId="0" applyNumberFormat="1" applyFont="1" applyFill="1" applyBorder="1" applyAlignment="1">
      <alignment horizontal="center" vertical="center"/>
    </xf>
    <xf numFmtId="49" fontId="10" fillId="7" borderId="11" xfId="0" applyNumberFormat="1" applyFont="1" applyFill="1" applyBorder="1" applyAlignment="1">
      <alignment horizontal="center" vertical="center"/>
    </xf>
    <xf numFmtId="49" fontId="10" fillId="7" borderId="32" xfId="0" applyNumberFormat="1" applyFont="1" applyFill="1" applyBorder="1" applyAlignment="1">
      <alignment horizontal="center" vertical="center"/>
    </xf>
    <xf numFmtId="164" fontId="22" fillId="6" borderId="27" xfId="1" applyFont="1" applyFill="1" applyBorder="1" applyAlignment="1" applyProtection="1">
      <alignment horizontal="center"/>
    </xf>
    <xf numFmtId="164" fontId="21" fillId="12" borderId="10" xfId="1" applyFont="1" applyFill="1" applyBorder="1" applyAlignment="1" applyProtection="1">
      <alignment horizontal="center" vertical="center"/>
    </xf>
    <xf numFmtId="164" fontId="21" fillId="7" borderId="10" xfId="1" applyFont="1" applyFill="1" applyBorder="1" applyAlignment="1" applyProtection="1">
      <alignment horizontal="center" vertical="center"/>
    </xf>
    <xf numFmtId="164" fontId="21" fillId="12" borderId="12" xfId="1" applyFont="1" applyFill="1" applyBorder="1" applyAlignment="1" applyProtection="1">
      <alignment horizontal="center" vertical="center"/>
    </xf>
    <xf numFmtId="164" fontId="21" fillId="11" borderId="12" xfId="1" applyFont="1" applyFill="1" applyBorder="1" applyAlignment="1" applyProtection="1">
      <alignment horizontal="center" vertical="center"/>
    </xf>
    <xf numFmtId="164" fontId="21" fillId="7" borderId="12" xfId="1" applyFont="1" applyFill="1" applyBorder="1" applyAlignment="1" applyProtection="1">
      <alignment horizontal="center" vertical="center"/>
    </xf>
    <xf numFmtId="164" fontId="21" fillId="11" borderId="10" xfId="1" applyFont="1" applyFill="1" applyBorder="1" applyAlignment="1" applyProtection="1">
      <alignment horizontal="center" vertical="center"/>
    </xf>
    <xf numFmtId="164" fontId="21" fillId="7" borderId="28" xfId="1" applyFont="1" applyFill="1" applyBorder="1" applyAlignment="1" applyProtection="1">
      <alignment horizontal="center" vertical="center"/>
    </xf>
    <xf numFmtId="49" fontId="22" fillId="14" borderId="13" xfId="0" applyNumberFormat="1" applyFont="1" applyFill="1" applyBorder="1" applyAlignment="1">
      <alignment horizontal="center" vertical="center"/>
    </xf>
    <xf numFmtId="0" fontId="23" fillId="0" borderId="12" xfId="0" applyFont="1" applyBorder="1" applyAlignment="1">
      <alignment vertical="center"/>
    </xf>
    <xf numFmtId="0" fontId="23" fillId="0" borderId="12" xfId="0" applyFont="1" applyBorder="1"/>
    <xf numFmtId="164" fontId="22" fillId="6" borderId="31" xfId="1" applyFont="1" applyFill="1" applyBorder="1" applyProtection="1"/>
    <xf numFmtId="0" fontId="23" fillId="0" borderId="0" xfId="0" applyFont="1"/>
    <xf numFmtId="0" fontId="23" fillId="15" borderId="12" xfId="0" applyFont="1" applyFill="1" applyBorder="1"/>
    <xf numFmtId="0" fontId="23" fillId="15" borderId="12" xfId="0" applyFont="1" applyFill="1" applyBorder="1" applyAlignment="1">
      <alignment vertical="center"/>
    </xf>
    <xf numFmtId="4" fontId="21" fillId="7" borderId="11" xfId="0" applyNumberFormat="1" applyFont="1" applyFill="1" applyBorder="1" applyAlignment="1">
      <alignment horizontal="right" vertical="center"/>
    </xf>
    <xf numFmtId="164" fontId="21" fillId="16" borderId="10" xfId="1" applyFont="1" applyFill="1" applyBorder="1" applyAlignment="1" applyProtection="1">
      <alignment horizontal="center" vertical="center"/>
    </xf>
    <xf numFmtId="164" fontId="22" fillId="6" borderId="10" xfId="1" applyFont="1" applyFill="1" applyBorder="1" applyProtection="1"/>
    <xf numFmtId="49" fontId="3" fillId="0" borderId="0" xfId="0" applyNumberFormat="1" applyFont="1" applyAlignment="1">
      <alignment horizontal="left" vertical="center"/>
    </xf>
    <xf numFmtId="0" fontId="23" fillId="0" borderId="12" xfId="0" applyFont="1" applyBorder="1" applyAlignment="1">
      <alignment horizontal="right" vertical="center"/>
    </xf>
    <xf numFmtId="0" fontId="23" fillId="16" borderId="12" xfId="0" applyFont="1" applyFill="1" applyBorder="1"/>
    <xf numFmtId="0" fontId="21" fillId="15" borderId="12" xfId="0" applyFont="1" applyFill="1" applyBorder="1"/>
  </cellXfs>
  <cellStyles count="15">
    <cellStyle name="Accent 1 5" xfId="2" xr:uid="{00000000-0005-0000-0000-000000000000}"/>
    <cellStyle name="Accent 2 6" xfId="3" xr:uid="{00000000-0005-0000-0000-000001000000}"/>
    <cellStyle name="Accent 3 7" xfId="4" xr:uid="{00000000-0005-0000-0000-000002000000}"/>
    <cellStyle name="Accent 4" xfId="5" xr:uid="{00000000-0005-0000-0000-000003000000}"/>
    <cellStyle name="Error 8" xfId="6" xr:uid="{00000000-0005-0000-0000-000004000000}"/>
    <cellStyle name="Footnote 9" xfId="7" xr:uid="{00000000-0005-0000-0000-000005000000}"/>
    <cellStyle name="Heading 10" xfId="8" xr:uid="{00000000-0005-0000-0000-000006000000}"/>
    <cellStyle name="Hiperlink" xfId="14" builtinId="8"/>
    <cellStyle name="Normal" xfId="0" builtinId="0"/>
    <cellStyle name="Normal 2" xfId="9" xr:uid="{00000000-0005-0000-0000-000009000000}"/>
    <cellStyle name="Result 11" xfId="10" xr:uid="{00000000-0005-0000-0000-00000A000000}"/>
    <cellStyle name="Status 12" xfId="11" xr:uid="{00000000-0005-0000-0000-00000B000000}"/>
    <cellStyle name="Text 13" xfId="12" xr:uid="{00000000-0005-0000-0000-00000C000000}"/>
    <cellStyle name="Vírgula" xfId="1" builtinId="3"/>
    <cellStyle name="Warning 14" xfId="13" xr:uid="{00000000-0005-0000-0000-00000E000000}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104775</xdr:colOff>
          <xdr:row>2</xdr:row>
          <xdr:rowOff>152400</xdr:rowOff>
        </xdr:from>
        <xdr:to>
          <xdr:col>18</xdr:col>
          <xdr:colOff>1028700</xdr:colOff>
          <xdr:row>2</xdr:row>
          <xdr:rowOff>571500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Enviar E-mail Compras</a:t>
              </a:r>
            </a:p>
            <a:p>
              <a:pPr algn="ctr" rtl="0">
                <a:defRPr sz="1000"/>
              </a:pPr>
              <a:endParaRPr lang="pt-BR" sz="1000" b="0" i="0" u="none" strike="noStrike" baseline="0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S139"/>
  <sheetViews>
    <sheetView tabSelected="1" topLeftCell="B1" zoomScaleNormal="100" workbookViewId="0">
      <pane ySplit="1" topLeftCell="A5" activePane="bottomLeft" state="frozen"/>
      <selection pane="bottomLeft" activeCell="Q11" sqref="Q11"/>
    </sheetView>
  </sheetViews>
  <sheetFormatPr defaultColWidth="10.42578125" defaultRowHeight="15" x14ac:dyDescent="0.25"/>
  <cols>
    <col min="1" max="1" width="11.140625" bestFit="1" customWidth="1"/>
    <col min="2" max="2" width="12.7109375" style="1" customWidth="1"/>
    <col min="3" max="3" width="16" style="2" bestFit="1" customWidth="1"/>
    <col min="4" max="4" width="16.85546875" bestFit="1" customWidth="1"/>
    <col min="5" max="5" width="20.85546875" style="3" customWidth="1"/>
    <col min="6" max="6" width="40" style="4" customWidth="1"/>
    <col min="7" max="7" width="15.140625" style="5" customWidth="1"/>
    <col min="8" max="8" width="11" style="3" bestFit="1" customWidth="1"/>
    <col min="9" max="9" width="14.85546875" style="6" hidden="1" customWidth="1"/>
    <col min="10" max="10" width="16.5703125" style="6" hidden="1" customWidth="1"/>
    <col min="11" max="11" width="14.85546875" style="6" hidden="1" customWidth="1"/>
    <col min="12" max="14" width="13.5703125" style="6" hidden="1" customWidth="1"/>
    <col min="15" max="15" width="14.85546875" style="6" bestFit="1" customWidth="1"/>
    <col min="16" max="16" width="14.85546875" style="121" bestFit="1" customWidth="1"/>
    <col min="17" max="17" width="14.85546875" style="121" customWidth="1"/>
    <col min="18" max="18" width="11.85546875" bestFit="1" customWidth="1"/>
    <col min="19" max="19" width="45.85546875" customWidth="1"/>
  </cols>
  <sheetData>
    <row r="1" spans="1:19" ht="15.75" thickBot="1" x14ac:dyDescent="0.3">
      <c r="A1" s="7" t="s">
        <v>0</v>
      </c>
      <c r="B1" s="8" t="s">
        <v>1</v>
      </c>
      <c r="C1" s="9" t="s">
        <v>2</v>
      </c>
      <c r="D1" s="13" t="s">
        <v>7</v>
      </c>
      <c r="E1" s="10" t="s">
        <v>3</v>
      </c>
      <c r="F1" s="11" t="s">
        <v>4</v>
      </c>
      <c r="G1" s="12" t="s">
        <v>5</v>
      </c>
      <c r="H1" s="12" t="s">
        <v>6</v>
      </c>
      <c r="I1" s="14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09" t="s">
        <v>15</v>
      </c>
      <c r="Q1" s="109" t="s">
        <v>16</v>
      </c>
      <c r="R1" s="85"/>
      <c r="S1" s="85"/>
    </row>
    <row r="2" spans="1:19" x14ac:dyDescent="0.2">
      <c r="A2" s="16" t="s">
        <v>19</v>
      </c>
      <c r="B2" s="17" t="s">
        <v>19</v>
      </c>
      <c r="C2" s="17" t="s">
        <v>20</v>
      </c>
      <c r="D2" s="22" t="s">
        <v>23</v>
      </c>
      <c r="E2" s="18" t="s">
        <v>21</v>
      </c>
      <c r="F2" s="19" t="s">
        <v>22</v>
      </c>
      <c r="G2" s="20">
        <v>1</v>
      </c>
      <c r="H2" s="21">
        <v>15</v>
      </c>
      <c r="I2" s="23">
        <v>1659.81</v>
      </c>
      <c r="J2" s="23">
        <v>1659.81</v>
      </c>
      <c r="K2" s="23">
        <v>1659.81</v>
      </c>
      <c r="L2" s="23">
        <v>1659.81</v>
      </c>
      <c r="M2" s="23">
        <v>1659.81</v>
      </c>
      <c r="N2" s="84" t="s">
        <v>23</v>
      </c>
      <c r="O2" s="82" t="s">
        <v>23</v>
      </c>
      <c r="P2" s="110"/>
      <c r="Q2" s="125"/>
      <c r="R2" s="89" t="str">
        <f>HYPERLINK("mailto:compras.matriz@feital.com.br?subject=Pedido de Compra | Nota Fiscal FLUXO&amp;body=Bom dia,%0D%0A%0D%0AGostaria de solicitar o pedido de compra para a nota fiscal anexa, da Empresa FLUXO.", "Enviar E-mail")</f>
        <v>Enviar E-mail</v>
      </c>
      <c r="S2" s="85"/>
    </row>
    <row r="3" spans="1:19" ht="60" x14ac:dyDescent="0.2">
      <c r="A3" s="16" t="s">
        <v>19</v>
      </c>
      <c r="B3" s="17" t="s">
        <v>19</v>
      </c>
      <c r="C3" s="17" t="s">
        <v>24</v>
      </c>
      <c r="D3" s="24" t="s">
        <v>23</v>
      </c>
      <c r="E3" s="18" t="s">
        <v>25</v>
      </c>
      <c r="F3" s="19" t="s">
        <v>26</v>
      </c>
      <c r="G3" s="20">
        <v>1</v>
      </c>
      <c r="H3" s="21" t="s">
        <v>27</v>
      </c>
      <c r="I3" s="23">
        <v>5080.46</v>
      </c>
      <c r="J3" s="23">
        <v>5130.84</v>
      </c>
      <c r="K3" s="23">
        <v>5145.82</v>
      </c>
      <c r="L3" s="23">
        <v>10186.65</v>
      </c>
      <c r="M3" s="23">
        <v>10050.44</v>
      </c>
      <c r="N3" s="23">
        <v>10631.62</v>
      </c>
      <c r="O3" s="82">
        <v>10930.93</v>
      </c>
      <c r="P3" s="110">
        <v>11008.2</v>
      </c>
      <c r="Q3" s="125"/>
      <c r="R3" s="89" t="str">
        <f>HYPERLINK("mailto:compras.matriz@feital.com.br?subject=Pedido de Compra | Nota Fiscal KTRE&amp;body=Bom dia,%0D%0A%0D%0AGostaria de solicitar o pedido de compra para a nota fiscal anexa, da Empresa KTREE.", "Enviar E-mail")</f>
        <v>Enviar E-mail</v>
      </c>
      <c r="S3" s="85"/>
    </row>
    <row r="4" spans="1:19" x14ac:dyDescent="0.2">
      <c r="A4" s="16" t="s">
        <v>28</v>
      </c>
      <c r="B4" s="17" t="s">
        <v>28</v>
      </c>
      <c r="C4" s="17" t="s">
        <v>29</v>
      </c>
      <c r="D4" s="24">
        <v>999984740402</v>
      </c>
      <c r="E4" s="18" t="s">
        <v>30</v>
      </c>
      <c r="F4" s="19" t="s">
        <v>31</v>
      </c>
      <c r="G4" s="20">
        <v>1</v>
      </c>
      <c r="H4" s="21">
        <v>20</v>
      </c>
      <c r="I4" s="23">
        <v>1427.85</v>
      </c>
      <c r="J4" s="23">
        <v>1427.85</v>
      </c>
      <c r="K4" s="23">
        <v>1427.85</v>
      </c>
      <c r="L4" s="23">
        <v>1427.85</v>
      </c>
      <c r="M4" s="23">
        <v>1427.85</v>
      </c>
      <c r="N4" s="23">
        <v>1427.85</v>
      </c>
      <c r="O4" s="23">
        <v>1427.85</v>
      </c>
      <c r="P4" s="111">
        <v>1427.85</v>
      </c>
      <c r="Q4" s="125"/>
      <c r="R4" s="85"/>
      <c r="S4" s="85"/>
    </row>
    <row r="5" spans="1:19" s="26" customFormat="1" ht="30" x14ac:dyDescent="0.2">
      <c r="A5" s="16" t="s">
        <v>19</v>
      </c>
      <c r="B5" s="17" t="s">
        <v>19</v>
      </c>
      <c r="C5" s="17" t="s">
        <v>32</v>
      </c>
      <c r="D5" s="22" t="s">
        <v>23</v>
      </c>
      <c r="E5" s="18" t="s">
        <v>33</v>
      </c>
      <c r="F5" s="19" t="s">
        <v>34</v>
      </c>
      <c r="G5" s="20">
        <v>1</v>
      </c>
      <c r="H5" s="21">
        <v>30</v>
      </c>
      <c r="I5" s="25">
        <v>654.95000000000005</v>
      </c>
      <c r="J5" s="25">
        <v>873.26</v>
      </c>
      <c r="K5" s="25">
        <v>873.26</v>
      </c>
      <c r="L5" s="25">
        <v>873.26</v>
      </c>
      <c r="M5" s="23">
        <v>905.31</v>
      </c>
      <c r="N5" s="23">
        <v>905.31</v>
      </c>
      <c r="O5" s="23">
        <v>905.31</v>
      </c>
      <c r="P5" s="111">
        <v>905.31</v>
      </c>
      <c r="Q5" s="125"/>
      <c r="R5" s="89" t="str">
        <f>HYPERLINK("mailto:compras.matriz@feital.com.br?subject=Pedido de Compra | Nota Fiscal RAMO&amp;body=Bom dia,%0D%0A%0D%0AGostaria de solicitar o pedido de compra para a nota fiscal anexa, da Empresa Ramo.", "Enviar E-mail")</f>
        <v>Enviar E-mail</v>
      </c>
      <c r="S5" s="86"/>
    </row>
    <row r="6" spans="1:19" s="26" customFormat="1" ht="45" x14ac:dyDescent="0.2">
      <c r="A6" s="16" t="s">
        <v>19</v>
      </c>
      <c r="B6" s="17" t="s">
        <v>19</v>
      </c>
      <c r="C6" s="17" t="s">
        <v>35</v>
      </c>
      <c r="D6" s="22" t="s">
        <v>23</v>
      </c>
      <c r="E6" s="18" t="s">
        <v>25</v>
      </c>
      <c r="F6" s="19" t="s">
        <v>36</v>
      </c>
      <c r="G6" s="20">
        <v>2</v>
      </c>
      <c r="H6" s="27">
        <v>15</v>
      </c>
      <c r="I6" s="23">
        <v>27511.26</v>
      </c>
      <c r="J6" s="23">
        <v>27511.26</v>
      </c>
      <c r="K6" s="23">
        <v>27511.26</v>
      </c>
      <c r="L6" s="23">
        <v>27511.26</v>
      </c>
      <c r="M6" s="23">
        <v>27511.26</v>
      </c>
      <c r="N6" s="23">
        <v>27511.26</v>
      </c>
      <c r="O6" s="82">
        <v>28376.09</v>
      </c>
      <c r="P6" s="112">
        <v>28376.09</v>
      </c>
      <c r="Q6" s="125"/>
      <c r="R6" s="89" t="str">
        <f>HYPERLINK("mailto:compras.matriz@feital.com.br?subject=Pedido de Compra | Nota Fiscal RAMO&amp;body=Bom dia,%0D%0A%0D%0AGostaria de solicitar o pedido de compra para a nota fiscal anexa, da Empresa Ramo.", "Enviar E-mail")</f>
        <v>Enviar E-mail</v>
      </c>
      <c r="S6" s="86"/>
    </row>
    <row r="7" spans="1:19" x14ac:dyDescent="0.2">
      <c r="A7" s="16" t="s">
        <v>19</v>
      </c>
      <c r="B7" s="17" t="s">
        <v>19</v>
      </c>
      <c r="C7" s="17" t="s">
        <v>35</v>
      </c>
      <c r="D7" s="22" t="s">
        <v>23</v>
      </c>
      <c r="E7" s="18" t="s">
        <v>25</v>
      </c>
      <c r="F7" s="19" t="s">
        <v>37</v>
      </c>
      <c r="G7" s="20">
        <v>2</v>
      </c>
      <c r="H7" s="27">
        <v>25</v>
      </c>
      <c r="I7" s="23">
        <v>25409.78</v>
      </c>
      <c r="J7" s="23">
        <v>25409.78</v>
      </c>
      <c r="K7" s="23">
        <v>25409.78</v>
      </c>
      <c r="L7" s="23">
        <v>25409.78</v>
      </c>
      <c r="M7" s="23">
        <v>16701.95</v>
      </c>
      <c r="N7" s="23">
        <v>16701.95</v>
      </c>
      <c r="O7" s="82">
        <v>16954.560000000001</v>
      </c>
      <c r="P7" s="112">
        <v>16954.560000000001</v>
      </c>
      <c r="Q7" s="125"/>
      <c r="R7" s="89" t="str">
        <f>HYPERLINK("mailto:compras.matriz@feital.com.br?subject=Pedido de Compra | Nota Fiscal RAMO&amp;body=Bom dia,%0D%0A%0D%0AGostaria de solicitar o pedido de compra para a nota fiscal anexa, da Empresa Ramo.", "Enviar E-mail")</f>
        <v>Enviar E-mail</v>
      </c>
      <c r="S7" s="85"/>
    </row>
    <row r="8" spans="1:19" s="26" customFormat="1" ht="30" x14ac:dyDescent="0.2">
      <c r="A8" s="16" t="s">
        <v>19</v>
      </c>
      <c r="B8" s="17" t="s">
        <v>19</v>
      </c>
      <c r="C8" s="17" t="s">
        <v>35</v>
      </c>
      <c r="D8" s="22" t="s">
        <v>23</v>
      </c>
      <c r="E8" s="18" t="s">
        <v>25</v>
      </c>
      <c r="F8" s="19" t="s">
        <v>107</v>
      </c>
      <c r="G8" s="20">
        <v>2</v>
      </c>
      <c r="H8" s="27">
        <v>15</v>
      </c>
      <c r="I8" s="23" t="s">
        <v>23</v>
      </c>
      <c r="J8" s="23" t="s">
        <v>23</v>
      </c>
      <c r="K8" s="23" t="s">
        <v>23</v>
      </c>
      <c r="L8" s="23" t="s">
        <v>23</v>
      </c>
      <c r="M8" s="23" t="s">
        <v>23</v>
      </c>
      <c r="N8" s="23">
        <v>5597.67</v>
      </c>
      <c r="O8" s="23">
        <v>5597.67</v>
      </c>
      <c r="P8" s="23" t="s">
        <v>23</v>
      </c>
      <c r="Q8" s="125"/>
      <c r="R8" s="86"/>
      <c r="S8" s="86"/>
    </row>
    <row r="9" spans="1:19" s="26" customFormat="1" x14ac:dyDescent="0.2">
      <c r="A9" s="16" t="s">
        <v>19</v>
      </c>
      <c r="B9" s="17" t="s">
        <v>19</v>
      </c>
      <c r="C9" s="17" t="s">
        <v>32</v>
      </c>
      <c r="D9" s="22" t="s">
        <v>23</v>
      </c>
      <c r="E9" s="18" t="s">
        <v>25</v>
      </c>
      <c r="F9" s="19" t="s">
        <v>38</v>
      </c>
      <c r="G9" s="20">
        <v>2</v>
      </c>
      <c r="H9" s="21" t="s">
        <v>39</v>
      </c>
      <c r="I9" s="22" t="s">
        <v>23</v>
      </c>
      <c r="J9" s="23" t="s">
        <v>23</v>
      </c>
      <c r="K9" s="23" t="s">
        <v>23</v>
      </c>
      <c r="L9" s="23" t="s">
        <v>23</v>
      </c>
      <c r="M9" s="23" t="s">
        <v>23</v>
      </c>
      <c r="N9" s="23" t="s">
        <v>23</v>
      </c>
      <c r="O9" s="23" t="s">
        <v>23</v>
      </c>
      <c r="P9" s="118">
        <v>905.31</v>
      </c>
      <c r="Q9" s="125"/>
      <c r="R9" s="86"/>
      <c r="S9" s="86"/>
    </row>
    <row r="10" spans="1:19" s="26" customFormat="1" x14ac:dyDescent="0.2">
      <c r="A10" s="16" t="s">
        <v>19</v>
      </c>
      <c r="B10" s="17" t="s">
        <v>19</v>
      </c>
      <c r="C10" s="17" t="s">
        <v>40</v>
      </c>
      <c r="D10" s="22" t="s">
        <v>23</v>
      </c>
      <c r="E10" s="18" t="s">
        <v>41</v>
      </c>
      <c r="F10" s="19" t="s">
        <v>42</v>
      </c>
      <c r="G10" s="20">
        <v>3</v>
      </c>
      <c r="H10" s="27">
        <v>5</v>
      </c>
      <c r="I10" s="23">
        <v>146.93</v>
      </c>
      <c r="J10" s="23">
        <v>144</v>
      </c>
      <c r="K10" s="23">
        <v>146.16</v>
      </c>
      <c r="L10" s="23">
        <v>146.16</v>
      </c>
      <c r="M10" s="23">
        <v>146.16</v>
      </c>
      <c r="N10" s="81">
        <v>146.16</v>
      </c>
      <c r="O10" s="81">
        <v>161.16</v>
      </c>
      <c r="P10" s="113">
        <v>161.16</v>
      </c>
      <c r="Q10" s="125">
        <v>161.16</v>
      </c>
      <c r="R10" s="89" t="str">
        <f>HYPERLINK("mailto:compras.matriz@feital.com.br?subject=Pedido de Compra | Nota Fiscal HIVECLOUD&amp;body=Bom dia,%0D%0A%0D%0AGostaria de solicitar o pedido de compra para a nota fiscal anexa, da Empresa HIVECLOUD.", "Enviar E-mail")</f>
        <v>Enviar E-mail</v>
      </c>
      <c r="S10" s="86"/>
    </row>
    <row r="11" spans="1:19" x14ac:dyDescent="0.2">
      <c r="A11" s="16" t="s">
        <v>19</v>
      </c>
      <c r="B11" s="17" t="s">
        <v>19</v>
      </c>
      <c r="C11" s="17" t="s">
        <v>43</v>
      </c>
      <c r="D11" s="22" t="s">
        <v>23</v>
      </c>
      <c r="E11" s="18" t="s">
        <v>25</v>
      </c>
      <c r="F11" s="19" t="s">
        <v>44</v>
      </c>
      <c r="G11" s="28">
        <v>3</v>
      </c>
      <c r="H11" s="21" t="s">
        <v>39</v>
      </c>
      <c r="I11" s="23">
        <v>2359.92</v>
      </c>
      <c r="J11" s="23">
        <v>2359.92</v>
      </c>
      <c r="K11" s="23">
        <v>2359.92</v>
      </c>
      <c r="L11" s="23">
        <v>2449.83</v>
      </c>
      <c r="M11" s="23">
        <v>2449.83</v>
      </c>
      <c r="N11" s="23">
        <v>2449.83</v>
      </c>
      <c r="O11" s="23">
        <v>2449.83</v>
      </c>
      <c r="P11" s="114">
        <v>2449.83</v>
      </c>
      <c r="Q11" s="125"/>
      <c r="R11" s="90" t="str">
        <f>HYPERLINK("mailto:compras.matriz@feital.com.br?subject=Pedido de Compra | Nota Fiscal ALLNET&amp;body=Bom dia,%0D%0A%0D%0AGostaria de solicitar o pedido de compra para a nota fiscal anexa, da Empresa ALLNET.", "Enviar E-mail")</f>
        <v>Enviar E-mail</v>
      </c>
      <c r="S11" s="85"/>
    </row>
    <row r="12" spans="1:19" x14ac:dyDescent="0.2">
      <c r="A12" s="16" t="s">
        <v>19</v>
      </c>
      <c r="B12" s="17" t="s">
        <v>19</v>
      </c>
      <c r="C12" s="17" t="s">
        <v>45</v>
      </c>
      <c r="D12" s="22" t="s">
        <v>23</v>
      </c>
      <c r="E12" s="18" t="s">
        <v>25</v>
      </c>
      <c r="F12" s="19" t="s">
        <v>46</v>
      </c>
      <c r="G12" s="20">
        <v>3</v>
      </c>
      <c r="H12" s="21" t="s">
        <v>47</v>
      </c>
      <c r="I12" s="23">
        <v>1357.3</v>
      </c>
      <c r="J12" s="23">
        <v>1357.3</v>
      </c>
      <c r="K12" s="23">
        <v>1357.3</v>
      </c>
      <c r="L12" s="23">
        <v>1357.3</v>
      </c>
      <c r="M12" s="23">
        <v>1357.3</v>
      </c>
      <c r="N12" s="81">
        <v>1357.3</v>
      </c>
      <c r="O12" s="81">
        <v>1357.3</v>
      </c>
      <c r="P12" s="115">
        <v>1430.75</v>
      </c>
      <c r="Q12" s="125"/>
      <c r="R12" s="90" t="str">
        <f>HYPERLINK("mailto:compras.matriz@feital.com.br?subject=Pedido de Compra | Nota Fiscal ARQUIVEI&amp;body=Bom dia,%0D%0A%0D%0AGostaria de solicitar o pedido de compra para a nota fiscal anexa, da Empresa ARQUIVEI.", "Enviar E-mail")</f>
        <v>Enviar E-mail</v>
      </c>
      <c r="S12" s="85"/>
    </row>
    <row r="13" spans="1:19" ht="15.75" x14ac:dyDescent="0.2">
      <c r="A13" s="16" t="s">
        <v>48</v>
      </c>
      <c r="B13" s="17" t="s">
        <v>19</v>
      </c>
      <c r="C13" s="17" t="s">
        <v>29</v>
      </c>
      <c r="D13" s="22">
        <v>343260209</v>
      </c>
      <c r="E13" s="18" t="s">
        <v>30</v>
      </c>
      <c r="F13" s="19" t="s">
        <v>49</v>
      </c>
      <c r="G13" s="20">
        <v>3</v>
      </c>
      <c r="H13" s="29">
        <v>17</v>
      </c>
      <c r="I13" s="23">
        <v>99.4</v>
      </c>
      <c r="J13" s="23">
        <v>99.4</v>
      </c>
      <c r="K13" s="23">
        <v>99.4</v>
      </c>
      <c r="L13" s="23">
        <v>99.4</v>
      </c>
      <c r="M13" s="23">
        <v>99.4</v>
      </c>
      <c r="N13" s="23">
        <v>99.4</v>
      </c>
      <c r="O13" s="23">
        <v>99.4</v>
      </c>
      <c r="P13" s="111">
        <v>99.4</v>
      </c>
      <c r="Q13" s="125"/>
      <c r="R13" s="85"/>
      <c r="S13" s="85"/>
    </row>
    <row r="14" spans="1:19" ht="15.75" x14ac:dyDescent="0.2">
      <c r="A14" s="16" t="s">
        <v>50</v>
      </c>
      <c r="B14" s="17" t="s">
        <v>19</v>
      </c>
      <c r="C14" s="17" t="s">
        <v>29</v>
      </c>
      <c r="D14" s="22">
        <v>343260226</v>
      </c>
      <c r="E14" s="18" t="s">
        <v>30</v>
      </c>
      <c r="F14" s="19" t="s">
        <v>49</v>
      </c>
      <c r="G14" s="20">
        <v>3</v>
      </c>
      <c r="H14" s="29">
        <v>17</v>
      </c>
      <c r="I14" s="23">
        <v>99.64</v>
      </c>
      <c r="J14" s="23">
        <v>99.64</v>
      </c>
      <c r="K14" s="23">
        <v>99.64</v>
      </c>
      <c r="L14" s="23">
        <v>99.64</v>
      </c>
      <c r="M14" s="23">
        <v>99.64</v>
      </c>
      <c r="N14" s="23">
        <v>99.64</v>
      </c>
      <c r="O14" s="23">
        <v>99.64</v>
      </c>
      <c r="P14" s="23">
        <v>99.64</v>
      </c>
      <c r="Q14" s="125"/>
      <c r="R14" s="85"/>
      <c r="S14" s="85"/>
    </row>
    <row r="15" spans="1:19" ht="15.75" x14ac:dyDescent="0.25">
      <c r="A15" s="16" t="s">
        <v>51</v>
      </c>
      <c r="B15" s="17" t="s">
        <v>19</v>
      </c>
      <c r="C15" s="17" t="s">
        <v>29</v>
      </c>
      <c r="D15" s="22">
        <v>343260498</v>
      </c>
      <c r="E15" s="18" t="s">
        <v>30</v>
      </c>
      <c r="F15" s="19" t="s">
        <v>49</v>
      </c>
      <c r="G15" s="20">
        <v>3</v>
      </c>
      <c r="H15" s="29">
        <v>17</v>
      </c>
      <c r="I15" s="23">
        <v>239.32</v>
      </c>
      <c r="J15" s="23">
        <v>239.32</v>
      </c>
      <c r="K15" s="23">
        <v>239.32</v>
      </c>
      <c r="L15" s="23">
        <v>239.32</v>
      </c>
      <c r="M15" s="23">
        <v>239.32</v>
      </c>
      <c r="N15" s="23">
        <v>239.32</v>
      </c>
      <c r="O15" s="82">
        <v>243.21</v>
      </c>
      <c r="P15" s="119">
        <v>239.32</v>
      </c>
      <c r="Q15" s="125"/>
      <c r="R15" s="85"/>
      <c r="S15" s="85"/>
    </row>
    <row r="16" spans="1:19" s="26" customFormat="1" ht="15.75" x14ac:dyDescent="0.2">
      <c r="A16" s="16" t="s">
        <v>28</v>
      </c>
      <c r="B16" s="17" t="s">
        <v>19</v>
      </c>
      <c r="C16" s="17" t="s">
        <v>29</v>
      </c>
      <c r="D16" s="22">
        <v>343260594</v>
      </c>
      <c r="E16" s="18" t="s">
        <v>30</v>
      </c>
      <c r="F16" s="19" t="s">
        <v>49</v>
      </c>
      <c r="G16" s="20">
        <v>3</v>
      </c>
      <c r="H16" s="29">
        <v>17</v>
      </c>
      <c r="I16" s="23">
        <v>248.62</v>
      </c>
      <c r="J16" s="23">
        <v>248.62</v>
      </c>
      <c r="K16" s="23">
        <v>248.62</v>
      </c>
      <c r="L16" s="23">
        <v>248.62</v>
      </c>
      <c r="M16" s="23">
        <v>248.62</v>
      </c>
      <c r="N16" s="23">
        <v>248.62</v>
      </c>
      <c r="O16" s="23">
        <v>248.62</v>
      </c>
      <c r="P16" s="118">
        <v>248.62</v>
      </c>
      <c r="Q16" s="125"/>
      <c r="R16" s="86"/>
      <c r="S16" s="86"/>
    </row>
    <row r="17" spans="1:19" s="26" customFormat="1" ht="15.75" x14ac:dyDescent="0.2">
      <c r="A17" s="16" t="s">
        <v>19</v>
      </c>
      <c r="B17" s="17" t="s">
        <v>19</v>
      </c>
      <c r="C17" s="17" t="s">
        <v>29</v>
      </c>
      <c r="D17" s="22">
        <v>343265941</v>
      </c>
      <c r="E17" s="18" t="s">
        <v>30</v>
      </c>
      <c r="F17" s="19" t="s">
        <v>49</v>
      </c>
      <c r="G17" s="20">
        <v>3</v>
      </c>
      <c r="H17" s="29">
        <v>17</v>
      </c>
      <c r="I17" s="23">
        <v>1468.2</v>
      </c>
      <c r="J17" s="23">
        <v>4380.3</v>
      </c>
      <c r="K17" s="23">
        <v>2437.9499999999998</v>
      </c>
      <c r="L17" s="23">
        <v>1469.01</v>
      </c>
      <c r="M17" s="23">
        <v>1748.13</v>
      </c>
      <c r="N17" s="23">
        <v>1481.02</v>
      </c>
      <c r="O17" s="82">
        <v>1748.13</v>
      </c>
      <c r="P17" s="110">
        <v>1479.45</v>
      </c>
      <c r="Q17" s="125"/>
      <c r="R17" s="86"/>
      <c r="S17" s="86"/>
    </row>
    <row r="18" spans="1:19" s="30" customFormat="1" ht="15.75" x14ac:dyDescent="0.2">
      <c r="A18" s="16" t="s">
        <v>52</v>
      </c>
      <c r="B18" s="17" t="s">
        <v>19</v>
      </c>
      <c r="C18" s="17" t="s">
        <v>29</v>
      </c>
      <c r="D18" s="22">
        <v>343260259</v>
      </c>
      <c r="E18" s="18" t="s">
        <v>30</v>
      </c>
      <c r="F18" s="19" t="s">
        <v>49</v>
      </c>
      <c r="G18" s="20">
        <v>4</v>
      </c>
      <c r="H18" s="29">
        <v>25</v>
      </c>
      <c r="I18" s="23">
        <v>241.04</v>
      </c>
      <c r="J18" s="23">
        <v>248.25</v>
      </c>
      <c r="K18" s="23">
        <v>241.04</v>
      </c>
      <c r="L18" s="23">
        <v>241.04</v>
      </c>
      <c r="M18" s="23">
        <v>241.04</v>
      </c>
      <c r="N18" s="82">
        <v>241.04</v>
      </c>
      <c r="O18" s="82">
        <v>253.13</v>
      </c>
      <c r="P18" s="128">
        <v>241.04</v>
      </c>
      <c r="Q18" s="125"/>
      <c r="R18" s="87"/>
      <c r="S18" s="87"/>
    </row>
    <row r="19" spans="1:19" s="26" customFormat="1" x14ac:dyDescent="0.2">
      <c r="A19" s="31" t="s">
        <v>19</v>
      </c>
      <c r="B19" s="32" t="s">
        <v>19</v>
      </c>
      <c r="C19" s="32" t="s">
        <v>29</v>
      </c>
      <c r="D19" s="37">
        <v>414166564</v>
      </c>
      <c r="E19" s="33" t="s">
        <v>30</v>
      </c>
      <c r="F19" s="34" t="s">
        <v>53</v>
      </c>
      <c r="G19" s="35">
        <v>4</v>
      </c>
      <c r="H19" s="36">
        <v>25</v>
      </c>
      <c r="I19" s="38">
        <v>185.84</v>
      </c>
      <c r="J19" s="38">
        <v>185.84</v>
      </c>
      <c r="K19" s="38">
        <v>194</v>
      </c>
      <c r="L19" s="38">
        <v>189.67</v>
      </c>
      <c r="M19" s="38">
        <v>185.84</v>
      </c>
      <c r="N19" s="38">
        <v>185.84</v>
      </c>
      <c r="O19" s="23">
        <v>189.61</v>
      </c>
      <c r="P19" s="118">
        <v>185.84</v>
      </c>
      <c r="Q19" s="125"/>
      <c r="R19" s="86"/>
      <c r="S19" s="86"/>
    </row>
    <row r="20" spans="1:19" s="26" customFormat="1" ht="30" x14ac:dyDescent="0.2">
      <c r="A20" s="16" t="s">
        <v>19</v>
      </c>
      <c r="B20" s="17" t="s">
        <v>19</v>
      </c>
      <c r="C20" s="17" t="s">
        <v>54</v>
      </c>
      <c r="D20" s="22">
        <v>330286336</v>
      </c>
      <c r="E20" s="18" t="s">
        <v>55</v>
      </c>
      <c r="F20" s="19" t="s">
        <v>56</v>
      </c>
      <c r="G20" s="20">
        <v>10</v>
      </c>
      <c r="H20" s="27">
        <v>20</v>
      </c>
      <c r="I20" s="23">
        <v>5552</v>
      </c>
      <c r="J20" s="23">
        <v>5552</v>
      </c>
      <c r="K20" s="23">
        <v>5552</v>
      </c>
      <c r="L20" s="23">
        <v>5552</v>
      </c>
      <c r="M20" s="23">
        <v>5552</v>
      </c>
      <c r="N20" s="23">
        <v>5552</v>
      </c>
      <c r="O20" s="23">
        <v>5552</v>
      </c>
      <c r="P20" s="111">
        <v>5552</v>
      </c>
      <c r="Q20" s="125"/>
      <c r="R20" s="90" t="str">
        <f>HYPERLINK("mailto:compras.matriz@feital.com.br?subject=Pedido de Compra | Nota Fiscal DIRECTCALL&amp;body=Bom dia,%0D%0A%0D%0AGostaria de solicitar o pedido de compra para a nota fiscal anexa, da Empresa ALLNET.", "Enviar E-mail")</f>
        <v>Enviar E-mail</v>
      </c>
      <c r="S20" s="86"/>
    </row>
    <row r="21" spans="1:19" s="26" customFormat="1" x14ac:dyDescent="0.2">
      <c r="A21" s="16" t="s">
        <v>50</v>
      </c>
      <c r="B21" s="17" t="s">
        <v>50</v>
      </c>
      <c r="C21" s="17" t="s">
        <v>57</v>
      </c>
      <c r="D21" s="22" t="s">
        <v>59</v>
      </c>
      <c r="E21" s="18" t="s">
        <v>30</v>
      </c>
      <c r="F21" s="19" t="s">
        <v>58</v>
      </c>
      <c r="G21" s="28">
        <v>10</v>
      </c>
      <c r="H21" s="21">
        <v>20</v>
      </c>
      <c r="I21" s="23">
        <v>1175.6199999999999</v>
      </c>
      <c r="J21" s="23">
        <v>1175.6199999999999</v>
      </c>
      <c r="K21" s="23">
        <v>1175.6199999999999</v>
      </c>
      <c r="L21" s="23">
        <v>1175.6199999999999</v>
      </c>
      <c r="M21" s="23">
        <v>1175.6199999999999</v>
      </c>
      <c r="N21" s="23">
        <v>1175.6199999999999</v>
      </c>
      <c r="O21" s="23">
        <v>1175.6199999999999</v>
      </c>
      <c r="P21" s="118"/>
      <c r="Q21" s="125"/>
      <c r="R21" s="90" t="str">
        <f>HYPERLINK("mailto:compras.matriz@feital.com.br?subject=Pedido de Compra | Nota Fiscal BLIP&amp;body=Bom dia,%0D%0A%0D%0AGostaria de solicitar o pedido de compra para a nota fiscal anexa, da Empresa BLIP.", "Enviar E-mail")</f>
        <v>Enviar E-mail</v>
      </c>
      <c r="S21" s="86"/>
    </row>
    <row r="22" spans="1:19" s="26" customFormat="1" x14ac:dyDescent="0.2">
      <c r="A22" s="16" t="s">
        <v>19</v>
      </c>
      <c r="B22" s="17" t="s">
        <v>19</v>
      </c>
      <c r="C22" s="17" t="s">
        <v>60</v>
      </c>
      <c r="D22" s="22" t="s">
        <v>23</v>
      </c>
      <c r="E22" s="18" t="s">
        <v>25</v>
      </c>
      <c r="F22" s="19" t="s">
        <v>61</v>
      </c>
      <c r="G22" s="20">
        <v>15</v>
      </c>
      <c r="H22" s="27">
        <v>14</v>
      </c>
      <c r="I22" s="23">
        <v>1461.24</v>
      </c>
      <c r="J22" s="23" t="s">
        <v>23</v>
      </c>
      <c r="K22" s="23">
        <f>1460+1460</f>
        <v>2920</v>
      </c>
      <c r="L22" s="23">
        <v>1460</v>
      </c>
      <c r="M22" s="23">
        <v>1460</v>
      </c>
      <c r="N22" s="23">
        <v>1460</v>
      </c>
      <c r="O22" s="23">
        <v>1460</v>
      </c>
      <c r="P22" s="118"/>
      <c r="Q22" s="125"/>
      <c r="R22" s="90"/>
      <c r="S22" s="86"/>
    </row>
    <row r="23" spans="1:19" s="26" customFormat="1" x14ac:dyDescent="0.2">
      <c r="A23" s="16" t="s">
        <v>28</v>
      </c>
      <c r="B23" s="17" t="s">
        <v>28</v>
      </c>
      <c r="C23" s="17" t="s">
        <v>62</v>
      </c>
      <c r="D23" s="22">
        <v>489651607</v>
      </c>
      <c r="E23" s="18" t="s">
        <v>30</v>
      </c>
      <c r="F23" s="19" t="s">
        <v>63</v>
      </c>
      <c r="G23" s="28">
        <v>12</v>
      </c>
      <c r="H23" s="21">
        <v>28</v>
      </c>
      <c r="I23" s="23">
        <v>1266.97</v>
      </c>
      <c r="J23" s="23">
        <v>1266.97</v>
      </c>
      <c r="K23" s="23">
        <v>1266.97</v>
      </c>
      <c r="L23" s="23">
        <v>1266.97</v>
      </c>
      <c r="M23" s="23">
        <v>1266.97</v>
      </c>
      <c r="N23" s="23">
        <v>1266.97</v>
      </c>
      <c r="O23" s="82">
        <v>1267.05</v>
      </c>
      <c r="P23" s="118">
        <v>1267.25</v>
      </c>
      <c r="Q23" s="125"/>
      <c r="R23" s="86"/>
      <c r="S23" s="86"/>
    </row>
    <row r="24" spans="1:19" s="26" customFormat="1" x14ac:dyDescent="0.2">
      <c r="A24" s="16" t="s">
        <v>19</v>
      </c>
      <c r="B24" s="17" t="s">
        <v>19</v>
      </c>
      <c r="C24" s="17" t="s">
        <v>64</v>
      </c>
      <c r="D24" s="22" t="s">
        <v>23</v>
      </c>
      <c r="E24" s="18" t="s">
        <v>65</v>
      </c>
      <c r="F24" s="19" t="s">
        <v>66</v>
      </c>
      <c r="G24" s="28" t="s">
        <v>67</v>
      </c>
      <c r="H24" s="21" t="s">
        <v>67</v>
      </c>
      <c r="I24" s="23">
        <v>3407</v>
      </c>
      <c r="J24" s="23">
        <v>840</v>
      </c>
      <c r="K24" s="23">
        <v>840</v>
      </c>
      <c r="L24" s="23">
        <v>2248</v>
      </c>
      <c r="M24" s="23">
        <v>1015</v>
      </c>
      <c r="N24" s="82">
        <v>685</v>
      </c>
      <c r="O24" s="82">
        <v>1345</v>
      </c>
      <c r="P24" s="110">
        <v>685</v>
      </c>
      <c r="Q24" s="125"/>
      <c r="R24" s="86"/>
      <c r="S24" s="86"/>
    </row>
    <row r="25" spans="1:19" x14ac:dyDescent="0.25">
      <c r="A25" s="16" t="s">
        <v>19</v>
      </c>
      <c r="B25" s="17" t="s">
        <v>19</v>
      </c>
      <c r="C25" s="17" t="s">
        <v>29</v>
      </c>
      <c r="D25" s="22">
        <v>343720923</v>
      </c>
      <c r="E25" s="18" t="s">
        <v>30</v>
      </c>
      <c r="F25" s="19" t="s">
        <v>68</v>
      </c>
      <c r="G25" s="28">
        <v>17</v>
      </c>
      <c r="H25" s="21">
        <v>27</v>
      </c>
      <c r="I25" s="23">
        <v>4346.2299999999996</v>
      </c>
      <c r="J25" s="23">
        <v>4346.2299999999996</v>
      </c>
      <c r="K25" s="23">
        <v>4346.2299999999996</v>
      </c>
      <c r="L25" s="23">
        <v>4346.2299999999996</v>
      </c>
      <c r="M25" s="23">
        <v>4346.2299999999996</v>
      </c>
      <c r="N25" s="82">
        <v>4434.59</v>
      </c>
      <c r="O25" s="82">
        <v>4042.22</v>
      </c>
      <c r="P25" s="122">
        <v>3897.6</v>
      </c>
      <c r="Q25" s="129"/>
      <c r="R25" s="85"/>
      <c r="S25" s="85"/>
    </row>
    <row r="26" spans="1:19" s="26" customFormat="1" x14ac:dyDescent="0.25">
      <c r="A26" s="16" t="s">
        <v>50</v>
      </c>
      <c r="B26" s="17" t="s">
        <v>50</v>
      </c>
      <c r="C26" s="17" t="s">
        <v>29</v>
      </c>
      <c r="D26" s="22">
        <v>425037156</v>
      </c>
      <c r="E26" s="18" t="s">
        <v>30</v>
      </c>
      <c r="F26" s="19" t="s">
        <v>69</v>
      </c>
      <c r="G26" s="28">
        <v>17</v>
      </c>
      <c r="H26" s="21">
        <v>27</v>
      </c>
      <c r="I26" s="23">
        <v>709.12</v>
      </c>
      <c r="J26" s="23">
        <v>709.12</v>
      </c>
      <c r="K26" s="23">
        <v>709.12</v>
      </c>
      <c r="L26" s="23">
        <v>709.12</v>
      </c>
      <c r="M26" s="23">
        <v>709.12</v>
      </c>
      <c r="N26" s="23">
        <v>709.12</v>
      </c>
      <c r="O26" s="82">
        <v>1383.13</v>
      </c>
      <c r="P26" s="123"/>
      <c r="Q26" s="129"/>
      <c r="R26" s="86"/>
      <c r="S26" s="86"/>
    </row>
    <row r="27" spans="1:19" x14ac:dyDescent="0.25">
      <c r="A27" s="16" t="s">
        <v>19</v>
      </c>
      <c r="B27" s="17" t="s">
        <v>19</v>
      </c>
      <c r="C27" s="17" t="s">
        <v>29</v>
      </c>
      <c r="D27" s="22">
        <v>414601091</v>
      </c>
      <c r="E27" s="18" t="s">
        <v>30</v>
      </c>
      <c r="F27" s="19" t="s">
        <v>70</v>
      </c>
      <c r="G27" s="28">
        <v>17</v>
      </c>
      <c r="H27" s="21">
        <v>27</v>
      </c>
      <c r="I27" s="23">
        <v>53.31</v>
      </c>
      <c r="J27" s="23">
        <v>54.77</v>
      </c>
      <c r="K27" s="23">
        <v>54.9</v>
      </c>
      <c r="L27" s="23">
        <v>53.31</v>
      </c>
      <c r="M27" s="23">
        <v>53.31</v>
      </c>
      <c r="N27" s="82">
        <v>54.38</v>
      </c>
      <c r="O27" s="82">
        <v>53.31</v>
      </c>
      <c r="P27" s="130">
        <v>53.31</v>
      </c>
      <c r="Q27" s="129"/>
      <c r="R27" s="85"/>
      <c r="S27" s="85"/>
    </row>
    <row r="28" spans="1:19" x14ac:dyDescent="0.25">
      <c r="A28" s="16" t="s">
        <v>50</v>
      </c>
      <c r="B28" s="17" t="s">
        <v>50</v>
      </c>
      <c r="C28" s="17" t="s">
        <v>29</v>
      </c>
      <c r="D28" s="40">
        <v>425037159</v>
      </c>
      <c r="E28" s="18" t="s">
        <v>30</v>
      </c>
      <c r="F28" s="19" t="s">
        <v>70</v>
      </c>
      <c r="G28" s="39">
        <v>17</v>
      </c>
      <c r="H28" s="21">
        <v>27</v>
      </c>
      <c r="I28" s="23">
        <v>58.33</v>
      </c>
      <c r="J28" s="23">
        <v>58.33</v>
      </c>
      <c r="K28" s="23">
        <v>58.33</v>
      </c>
      <c r="L28" s="23">
        <v>58.33</v>
      </c>
      <c r="M28" s="23">
        <v>58.33</v>
      </c>
      <c r="N28" s="23">
        <v>58.33</v>
      </c>
      <c r="O28" s="82">
        <v>58.33</v>
      </c>
      <c r="P28" s="122"/>
      <c r="Q28" s="129"/>
      <c r="R28" s="85"/>
      <c r="S28" s="85"/>
    </row>
    <row r="29" spans="1:19" ht="30" x14ac:dyDescent="0.2">
      <c r="A29" s="16" t="s">
        <v>19</v>
      </c>
      <c r="B29" s="17" t="s">
        <v>19</v>
      </c>
      <c r="C29" s="17" t="s">
        <v>24</v>
      </c>
      <c r="D29" s="42" t="s">
        <v>23</v>
      </c>
      <c r="E29" s="18" t="s">
        <v>71</v>
      </c>
      <c r="F29" s="19" t="s">
        <v>72</v>
      </c>
      <c r="G29" s="41">
        <v>17</v>
      </c>
      <c r="H29" s="21" t="s">
        <v>73</v>
      </c>
      <c r="I29" s="23" t="s">
        <v>23</v>
      </c>
      <c r="J29" s="23" t="s">
        <v>23</v>
      </c>
      <c r="K29" s="23">
        <v>4080.64</v>
      </c>
      <c r="L29" s="23" t="s">
        <v>23</v>
      </c>
      <c r="M29" s="23" t="s">
        <v>23</v>
      </c>
      <c r="N29" s="23" t="s">
        <v>23</v>
      </c>
      <c r="O29" s="23" t="s">
        <v>23</v>
      </c>
      <c r="P29" s="23" t="s">
        <v>23</v>
      </c>
      <c r="Q29" s="125"/>
      <c r="R29" s="85"/>
      <c r="S29" s="85"/>
    </row>
    <row r="30" spans="1:19" x14ac:dyDescent="0.2">
      <c r="A30" s="16" t="s">
        <v>19</v>
      </c>
      <c r="B30" s="17" t="s">
        <v>19</v>
      </c>
      <c r="C30" s="17" t="s">
        <v>74</v>
      </c>
      <c r="D30" s="40" t="s">
        <v>23</v>
      </c>
      <c r="E30" s="18" t="s">
        <v>25</v>
      </c>
      <c r="F30" s="88" t="s">
        <v>75</v>
      </c>
      <c r="G30" s="41">
        <v>17</v>
      </c>
      <c r="H30" s="21" t="s">
        <v>76</v>
      </c>
      <c r="I30" s="23" t="s">
        <v>23</v>
      </c>
      <c r="J30" s="23" t="s">
        <v>23</v>
      </c>
      <c r="K30" s="23" t="s">
        <v>23</v>
      </c>
      <c r="L30" s="23" t="s">
        <v>23</v>
      </c>
      <c r="M30" s="23" t="s">
        <v>23</v>
      </c>
      <c r="N30" s="23" t="s">
        <v>23</v>
      </c>
      <c r="O30" s="23" t="s">
        <v>23</v>
      </c>
      <c r="P30" s="23" t="s">
        <v>23</v>
      </c>
      <c r="Q30" s="125"/>
      <c r="R30" s="85"/>
      <c r="S30" s="85"/>
    </row>
    <row r="31" spans="1:19" ht="60" x14ac:dyDescent="0.25">
      <c r="A31" s="16" t="s">
        <v>19</v>
      </c>
      <c r="B31" s="17" t="s">
        <v>19</v>
      </c>
      <c r="C31" s="17" t="s">
        <v>108</v>
      </c>
      <c r="D31" s="40" t="s">
        <v>23</v>
      </c>
      <c r="E31" s="18" t="s">
        <v>25</v>
      </c>
      <c r="F31" s="19" t="s">
        <v>78</v>
      </c>
      <c r="G31" s="41">
        <v>20</v>
      </c>
      <c r="H31" s="27">
        <v>4</v>
      </c>
      <c r="I31" s="23">
        <v>997.5</v>
      </c>
      <c r="J31" s="23">
        <v>997.5</v>
      </c>
      <c r="K31" s="23">
        <v>997.5</v>
      </c>
      <c r="L31" s="23">
        <v>997.5</v>
      </c>
      <c r="M31" s="23">
        <v>997.53</v>
      </c>
      <c r="N31" s="82">
        <v>997.53</v>
      </c>
      <c r="O31" s="82">
        <v>998.58</v>
      </c>
      <c r="P31" s="119"/>
      <c r="Q31" s="125"/>
      <c r="R31" s="89" t="str">
        <f>HYPERLINK("mailto:compras.matriz@feital.com.br?subject=Pedido de Compra | Nota Fiscal SND&amp;body=Bom dia,%0D%0A%0D%0AGostaria de solicitar o pedido de compra para a nota fiscal anexa, da Empresa SDN.", "Enviar E-mail")</f>
        <v>Enviar E-mail</v>
      </c>
      <c r="S31" s="85"/>
    </row>
    <row r="32" spans="1:19" x14ac:dyDescent="0.2">
      <c r="A32" s="16" t="s">
        <v>19</v>
      </c>
      <c r="B32" s="17" t="s">
        <v>19</v>
      </c>
      <c r="C32" s="17" t="s">
        <v>77</v>
      </c>
      <c r="D32" s="45" t="s">
        <v>23</v>
      </c>
      <c r="E32" s="18" t="s">
        <v>25</v>
      </c>
      <c r="F32" s="19" t="s">
        <v>79</v>
      </c>
      <c r="G32" s="43">
        <v>21</v>
      </c>
      <c r="H32" s="44">
        <v>10</v>
      </c>
      <c r="I32" s="46">
        <v>1889.5</v>
      </c>
      <c r="J32" s="46">
        <v>1889.5</v>
      </c>
      <c r="K32" s="46">
        <v>1889.5</v>
      </c>
      <c r="L32" s="46" t="s">
        <v>23</v>
      </c>
      <c r="M32" s="46" t="s">
        <v>23</v>
      </c>
      <c r="N32" s="46" t="s">
        <v>23</v>
      </c>
      <c r="O32" s="46" t="s">
        <v>23</v>
      </c>
      <c r="P32" s="46" t="s">
        <v>23</v>
      </c>
      <c r="Q32" s="125"/>
      <c r="R32" s="89"/>
      <c r="S32" s="85"/>
    </row>
    <row r="33" spans="1:19" x14ac:dyDescent="0.2">
      <c r="A33" s="16" t="s">
        <v>19</v>
      </c>
      <c r="B33" s="17" t="s">
        <v>19</v>
      </c>
      <c r="C33" s="17" t="s">
        <v>110</v>
      </c>
      <c r="D33" s="45"/>
      <c r="E33" s="18" t="s">
        <v>25</v>
      </c>
      <c r="F33" s="19" t="s">
        <v>111</v>
      </c>
      <c r="G33" s="43">
        <v>4</v>
      </c>
      <c r="H33" s="44" t="s">
        <v>112</v>
      </c>
      <c r="I33" s="46"/>
      <c r="J33" s="46"/>
      <c r="K33" s="46"/>
      <c r="L33" s="46"/>
      <c r="M33" s="46"/>
      <c r="N33" s="46"/>
      <c r="O33" s="46"/>
      <c r="P33" s="116">
        <v>2100</v>
      </c>
      <c r="Q33" s="125"/>
      <c r="R33" s="89" t="str">
        <f>HYPERLINK("mailto:compras.matriz@feital.com.br?subject=Pedido de Compra | Nota Fiscal NUBLLAR&amp;body=Bom dia,%0D%0A%0D%0AGostaria de solicitar o pedido de compra para a nota fiscal anexa, da Empresa NUBLLAR.", "Enviar E-mail")</f>
        <v>Enviar E-mail</v>
      </c>
      <c r="S33" s="92"/>
    </row>
    <row r="34" spans="1:19" ht="30" x14ac:dyDescent="0.2">
      <c r="A34" s="16" t="s">
        <v>19</v>
      </c>
      <c r="B34" s="17" t="s">
        <v>19</v>
      </c>
      <c r="C34" s="17" t="s">
        <v>80</v>
      </c>
      <c r="D34" s="45" t="s">
        <v>23</v>
      </c>
      <c r="E34" s="18" t="s">
        <v>25</v>
      </c>
      <c r="F34" s="19" t="s">
        <v>81</v>
      </c>
      <c r="G34" s="47">
        <v>24</v>
      </c>
      <c r="H34" s="48">
        <v>4</v>
      </c>
      <c r="I34" s="23">
        <v>6582.35</v>
      </c>
      <c r="J34" s="46">
        <v>8479.85</v>
      </c>
      <c r="K34" s="46">
        <v>6152.17</v>
      </c>
      <c r="L34" s="46">
        <v>6942.25</v>
      </c>
      <c r="M34" s="46">
        <v>6158.52</v>
      </c>
      <c r="N34" s="83">
        <v>7636.82</v>
      </c>
      <c r="O34" s="83">
        <v>8306.1299999999992</v>
      </c>
      <c r="P34" s="83">
        <v>8254.9</v>
      </c>
      <c r="Q34" s="125"/>
      <c r="R34" s="89" t="str">
        <f>HYPERLINK("mailto:compras.matriz@feital.com.br?subject=Pedido de Compra | Nota Fiscal INGRAM&amp;body=Bom dia,%0D%0A%0D%0AGostaria de solicitar o pedido de compra para a nota fiscal anexa, da Empresa IGRAM.", "Enviar E-mail")</f>
        <v>Enviar E-mail</v>
      </c>
      <c r="S34" s="85"/>
    </row>
    <row r="35" spans="1:19" x14ac:dyDescent="0.25">
      <c r="A35" s="16" t="s">
        <v>19</v>
      </c>
      <c r="B35" s="17" t="s">
        <v>19</v>
      </c>
      <c r="C35" s="17" t="s">
        <v>82</v>
      </c>
      <c r="D35" s="45" t="s">
        <v>23</v>
      </c>
      <c r="E35" s="18" t="s">
        <v>25</v>
      </c>
      <c r="F35" s="19" t="s">
        <v>83</v>
      </c>
      <c r="G35" s="43">
        <v>26</v>
      </c>
      <c r="H35" s="48">
        <v>5</v>
      </c>
      <c r="I35" s="46">
        <v>576.17999999999995</v>
      </c>
      <c r="J35" s="46">
        <v>576.17999999999995</v>
      </c>
      <c r="K35" s="46">
        <v>602.74</v>
      </c>
      <c r="L35" s="46">
        <v>602.74</v>
      </c>
      <c r="M35" s="46">
        <v>602.74</v>
      </c>
      <c r="N35" s="46">
        <v>602.74</v>
      </c>
      <c r="O35" s="46">
        <v>602.74</v>
      </c>
      <c r="P35" s="119"/>
      <c r="Q35" s="125"/>
      <c r="R35" s="89" t="str">
        <f>HYPERLINK("mailto:compras.matriz@feital.com.br?subject=Pedido de Compra | Nota Fiscal PRONTOIT&amp;body=Bom dia,%0D%0A%0D%0AGostaria de solicitar o pedido de compra para a nota fiscal anexa, da Empresa Ramo.", "Enviar E-mail")</f>
        <v>Enviar E-mail</v>
      </c>
      <c r="S35" s="85"/>
    </row>
    <row r="36" spans="1:19" ht="30" x14ac:dyDescent="0.25">
      <c r="A36" s="16" t="s">
        <v>19</v>
      </c>
      <c r="B36" s="17" t="s">
        <v>19</v>
      </c>
      <c r="C36" s="17" t="s">
        <v>82</v>
      </c>
      <c r="D36" s="45" t="s">
        <v>23</v>
      </c>
      <c r="E36" s="18" t="s">
        <v>25</v>
      </c>
      <c r="F36" s="19" t="s">
        <v>84</v>
      </c>
      <c r="G36" s="43">
        <v>26</v>
      </c>
      <c r="H36" s="48">
        <v>5</v>
      </c>
      <c r="I36" s="46">
        <v>1903.44</v>
      </c>
      <c r="J36" s="46">
        <v>1903.44</v>
      </c>
      <c r="K36" s="46">
        <v>1991.19</v>
      </c>
      <c r="L36" s="46">
        <v>1991.19</v>
      </c>
      <c r="M36" s="46">
        <v>1991.19</v>
      </c>
      <c r="N36" s="46">
        <v>1991.19</v>
      </c>
      <c r="O36" s="46">
        <v>1991.19</v>
      </c>
      <c r="P36" s="119"/>
      <c r="Q36" s="125"/>
      <c r="R36" s="89" t="str">
        <f>HYPERLINK("mailto:compras.matriz@feital.com.br?subject=Pedido de Compra | Nota Fiscal PRONTOIT&amp;body=Bom dia,%0D%0A%0D%0AGostaria de solicitar o pedido de compra para a nota fiscal anexa, da Empresa PRONTOIT.", "Enviar E-mail")</f>
        <v>Enviar E-mail</v>
      </c>
      <c r="S36" s="85"/>
    </row>
    <row r="37" spans="1:19" x14ac:dyDescent="0.2">
      <c r="A37" s="31" t="s">
        <v>19</v>
      </c>
      <c r="B37" s="32" t="s">
        <v>19</v>
      </c>
      <c r="C37" s="32" t="s">
        <v>85</v>
      </c>
      <c r="D37" s="37" t="s">
        <v>23</v>
      </c>
      <c r="E37" s="33" t="s">
        <v>25</v>
      </c>
      <c r="F37" s="34" t="s">
        <v>86</v>
      </c>
      <c r="G37" s="93">
        <v>27</v>
      </c>
      <c r="H37" s="36">
        <v>11</v>
      </c>
      <c r="I37" s="94">
        <v>5264.54</v>
      </c>
      <c r="J37" s="94">
        <v>5389.03</v>
      </c>
      <c r="K37" s="94">
        <v>4622.99</v>
      </c>
      <c r="L37" s="94">
        <v>6228.8</v>
      </c>
      <c r="M37" s="94">
        <v>5787.27</v>
      </c>
      <c r="N37" s="95">
        <v>5194.2</v>
      </c>
      <c r="O37" s="95">
        <v>5410.21</v>
      </c>
      <c r="P37" s="117"/>
      <c r="Q37" s="125"/>
      <c r="R37" s="89" t="str">
        <f>HYPERLINK("mailto:compras.matriz@feital.com.br?subject=Pedido de Compra | Nota Fiscal DIGITAL&amp;body=Bom dia,%0D%0A%0D%0AGostaria de solicitar o pedido de compra para a nota fiscal anexa, da Empresa VERO.", "Enviar E-mail")</f>
        <v>Enviar E-mail</v>
      </c>
      <c r="S37" s="85"/>
    </row>
    <row r="38" spans="1:19" x14ac:dyDescent="0.2">
      <c r="A38" s="16" t="s">
        <v>19</v>
      </c>
      <c r="B38" s="17" t="s">
        <v>19</v>
      </c>
      <c r="C38" s="17" t="s">
        <v>109</v>
      </c>
      <c r="D38" s="73"/>
      <c r="E38" s="104" t="s">
        <v>30</v>
      </c>
      <c r="F38" s="105" t="s">
        <v>113</v>
      </c>
      <c r="G38" s="106" t="s">
        <v>114</v>
      </c>
      <c r="H38" s="104" t="s">
        <v>115</v>
      </c>
      <c r="I38" s="17"/>
      <c r="J38" s="17"/>
      <c r="K38" s="17"/>
      <c r="L38" s="17"/>
      <c r="M38" s="73"/>
      <c r="N38" s="107"/>
      <c r="O38" s="108"/>
      <c r="P38" s="124">
        <v>1357</v>
      </c>
      <c r="Q38" s="125"/>
      <c r="R38" s="89" t="str">
        <f>HYPERLINK("mailto:compras.matriz@feital.com.br?subject=Pedido de Compra | Nota Fiscal DIGITAL&amp;body=Bom dia,%0D%0A%0D%0AGostaria de solicitar o pedido de compra para a nota fiscal anexa, da Empresa VERO.", "Enviar E-mail")</f>
        <v>Enviar E-mail</v>
      </c>
      <c r="S38" s="85"/>
    </row>
    <row r="39" spans="1:19" s="51" customFormat="1" ht="17.25" thickBot="1" x14ac:dyDescent="0.3">
      <c r="A39" s="96" t="s">
        <v>87</v>
      </c>
      <c r="B39" s="97"/>
      <c r="C39" s="98"/>
      <c r="D39" s="99"/>
      <c r="E39" s="100"/>
      <c r="F39" s="101"/>
      <c r="G39" s="102"/>
      <c r="H39" s="100"/>
      <c r="I39" s="103">
        <f>SUM(I2:I37)</f>
        <v>103433.64999999997</v>
      </c>
      <c r="J39" s="103">
        <f>SUM(J2:J37)</f>
        <v>104613.92999999998</v>
      </c>
      <c r="K39" s="103">
        <f>SUM(K2:K37)</f>
        <v>106711.02999999998</v>
      </c>
      <c r="L39" s="103">
        <f t="shared" ref="L39:N39" si="0">SUM(L4:L37)</f>
        <v>95394.200000000012</v>
      </c>
      <c r="M39" s="103">
        <f t="shared" si="0"/>
        <v>84535.48000000001</v>
      </c>
      <c r="N39" s="103">
        <f t="shared" si="0"/>
        <v>90510.700000000012</v>
      </c>
      <c r="O39" s="103">
        <f>SUM(O2:O37)</f>
        <v>104687.95000000004</v>
      </c>
      <c r="P39" s="120">
        <f>SUM(P2:P38)</f>
        <v>89379.43</v>
      </c>
      <c r="Q39" s="126">
        <f>SUM(Q2:Q38)</f>
        <v>161.16</v>
      </c>
      <c r="R39" s="91"/>
      <c r="S39" s="91"/>
    </row>
    <row r="40" spans="1:19" x14ac:dyDescent="0.25">
      <c r="F40" s="49"/>
      <c r="G40" s="50"/>
    </row>
    <row r="41" spans="1:19" x14ac:dyDescent="0.25">
      <c r="A41" s="52"/>
      <c r="B41" s="127" t="s">
        <v>88</v>
      </c>
      <c r="C41" s="127"/>
      <c r="F41" s="49"/>
      <c r="G41" s="50"/>
    </row>
    <row r="42" spans="1:19" x14ac:dyDescent="0.25">
      <c r="A42" s="54"/>
      <c r="B42" s="53" t="s">
        <v>89</v>
      </c>
      <c r="F42" s="49"/>
      <c r="G42" s="50"/>
    </row>
    <row r="43" spans="1:19" x14ac:dyDescent="0.25">
      <c r="A43" s="55"/>
      <c r="B43" s="53" t="s">
        <v>90</v>
      </c>
      <c r="E43" s="56"/>
      <c r="F43" s="57"/>
      <c r="G43" s="58"/>
    </row>
    <row r="44" spans="1:19" x14ac:dyDescent="0.25">
      <c r="F44" s="57"/>
      <c r="G44" s="58"/>
    </row>
    <row r="45" spans="1:19" x14ac:dyDescent="0.25">
      <c r="F45" s="57"/>
      <c r="G45" s="58"/>
    </row>
    <row r="46" spans="1:19" x14ac:dyDescent="0.25">
      <c r="F46" s="49"/>
      <c r="G46" s="50"/>
    </row>
    <row r="47" spans="1:19" x14ac:dyDescent="0.25">
      <c r="F47" s="49"/>
      <c r="G47" s="50"/>
    </row>
    <row r="48" spans="1:19" x14ac:dyDescent="0.25">
      <c r="F48" s="49"/>
      <c r="G48" s="50"/>
    </row>
    <row r="49" spans="6:7" x14ac:dyDescent="0.25">
      <c r="F49" s="49"/>
      <c r="G49" s="50"/>
    </row>
    <row r="50" spans="6:7" x14ac:dyDescent="0.25">
      <c r="F50" s="49"/>
      <c r="G50" s="50"/>
    </row>
    <row r="51" spans="6:7" x14ac:dyDescent="0.25">
      <c r="F51" s="49"/>
      <c r="G51" s="50"/>
    </row>
    <row r="52" spans="6:7" x14ac:dyDescent="0.25">
      <c r="F52" s="49"/>
      <c r="G52" s="50"/>
    </row>
    <row r="53" spans="6:7" x14ac:dyDescent="0.25">
      <c r="F53" s="49"/>
      <c r="G53" s="50"/>
    </row>
    <row r="54" spans="6:7" x14ac:dyDescent="0.25">
      <c r="F54" s="49"/>
      <c r="G54" s="59"/>
    </row>
    <row r="55" spans="6:7" x14ac:dyDescent="0.25">
      <c r="F55" s="49"/>
      <c r="G55" s="59"/>
    </row>
    <row r="56" spans="6:7" x14ac:dyDescent="0.25">
      <c r="F56" s="49"/>
      <c r="G56" s="59"/>
    </row>
    <row r="57" spans="6:7" x14ac:dyDescent="0.25">
      <c r="F57" s="49"/>
      <c r="G57" s="59"/>
    </row>
    <row r="58" spans="6:7" x14ac:dyDescent="0.25">
      <c r="F58" s="49"/>
      <c r="G58" s="59"/>
    </row>
    <row r="59" spans="6:7" x14ac:dyDescent="0.25">
      <c r="F59" s="49"/>
      <c r="G59" s="60"/>
    </row>
    <row r="60" spans="6:7" x14ac:dyDescent="0.25">
      <c r="F60" s="49"/>
      <c r="G60" s="50"/>
    </row>
    <row r="61" spans="6:7" x14ac:dyDescent="0.25">
      <c r="F61" s="49"/>
      <c r="G61" s="50"/>
    </row>
    <row r="62" spans="6:7" x14ac:dyDescent="0.25">
      <c r="F62" s="49"/>
      <c r="G62" s="50"/>
    </row>
    <row r="63" spans="6:7" x14ac:dyDescent="0.25">
      <c r="F63" s="49"/>
      <c r="G63" s="50"/>
    </row>
    <row r="64" spans="6:7" x14ac:dyDescent="0.25">
      <c r="F64" s="49"/>
      <c r="G64" s="50"/>
    </row>
    <row r="65" spans="6:7" x14ac:dyDescent="0.25">
      <c r="F65" s="49"/>
      <c r="G65" s="50"/>
    </row>
    <row r="66" spans="6:7" x14ac:dyDescent="0.25">
      <c r="F66" s="49"/>
      <c r="G66" s="50"/>
    </row>
    <row r="67" spans="6:7" x14ac:dyDescent="0.25">
      <c r="F67" s="49"/>
      <c r="G67" s="50"/>
    </row>
    <row r="68" spans="6:7" x14ac:dyDescent="0.25">
      <c r="F68" s="49"/>
      <c r="G68" s="50"/>
    </row>
    <row r="69" spans="6:7" x14ac:dyDescent="0.25">
      <c r="F69" s="49"/>
      <c r="G69" s="50"/>
    </row>
    <row r="70" spans="6:7" x14ac:dyDescent="0.25">
      <c r="F70" s="49"/>
      <c r="G70" s="50"/>
    </row>
    <row r="71" spans="6:7" x14ac:dyDescent="0.25">
      <c r="F71" s="49"/>
      <c r="G71" s="50"/>
    </row>
    <row r="72" spans="6:7" x14ac:dyDescent="0.25">
      <c r="F72" s="49"/>
      <c r="G72" s="50"/>
    </row>
    <row r="73" spans="6:7" x14ac:dyDescent="0.25">
      <c r="F73" s="49"/>
      <c r="G73" s="50"/>
    </row>
    <row r="74" spans="6:7" x14ac:dyDescent="0.25">
      <c r="F74" s="49"/>
      <c r="G74" s="50"/>
    </row>
    <row r="75" spans="6:7" x14ac:dyDescent="0.25">
      <c r="F75" s="49"/>
      <c r="G75" s="50"/>
    </row>
    <row r="76" spans="6:7" x14ac:dyDescent="0.25">
      <c r="F76" s="49"/>
      <c r="G76" s="50"/>
    </row>
    <row r="77" spans="6:7" x14ac:dyDescent="0.25">
      <c r="F77" s="49"/>
      <c r="G77" s="50"/>
    </row>
    <row r="78" spans="6:7" x14ac:dyDescent="0.25">
      <c r="F78" s="49"/>
      <c r="G78" s="50"/>
    </row>
    <row r="79" spans="6:7" x14ac:dyDescent="0.25">
      <c r="F79" s="49"/>
      <c r="G79" s="50"/>
    </row>
    <row r="80" spans="6:7" x14ac:dyDescent="0.25">
      <c r="F80" s="49"/>
      <c r="G80" s="50"/>
    </row>
    <row r="81" spans="6:7" x14ac:dyDescent="0.25">
      <c r="F81" s="49"/>
      <c r="G81" s="50"/>
    </row>
    <row r="82" spans="6:7" x14ac:dyDescent="0.25">
      <c r="F82" s="49"/>
      <c r="G82" s="50"/>
    </row>
    <row r="83" spans="6:7" x14ac:dyDescent="0.25">
      <c r="F83" s="49"/>
      <c r="G83" s="50"/>
    </row>
    <row r="84" spans="6:7" x14ac:dyDescent="0.25">
      <c r="F84" s="49"/>
      <c r="G84" s="50"/>
    </row>
    <row r="85" spans="6:7" x14ac:dyDescent="0.25">
      <c r="F85" s="49"/>
      <c r="G85" s="50"/>
    </row>
    <row r="86" spans="6:7" x14ac:dyDescent="0.25">
      <c r="F86" s="49"/>
      <c r="G86" s="50"/>
    </row>
    <row r="87" spans="6:7" x14ac:dyDescent="0.25">
      <c r="F87" s="49"/>
      <c r="G87" s="50"/>
    </row>
    <row r="88" spans="6:7" x14ac:dyDescent="0.25">
      <c r="F88" s="49"/>
      <c r="G88" s="50"/>
    </row>
    <row r="89" spans="6:7" x14ac:dyDescent="0.25">
      <c r="F89" s="49"/>
      <c r="G89" s="50"/>
    </row>
    <row r="90" spans="6:7" x14ac:dyDescent="0.25">
      <c r="F90" s="49"/>
      <c r="G90" s="50"/>
    </row>
    <row r="91" spans="6:7" x14ac:dyDescent="0.25">
      <c r="F91" s="49"/>
      <c r="G91" s="50"/>
    </row>
    <row r="92" spans="6:7" x14ac:dyDescent="0.25">
      <c r="F92" s="49"/>
      <c r="G92" s="50"/>
    </row>
    <row r="93" spans="6:7" x14ac:dyDescent="0.25">
      <c r="F93" s="49"/>
      <c r="G93" s="50"/>
    </row>
    <row r="94" spans="6:7" x14ac:dyDescent="0.25">
      <c r="F94" s="49"/>
      <c r="G94" s="50"/>
    </row>
    <row r="95" spans="6:7" x14ac:dyDescent="0.25">
      <c r="F95" s="49"/>
      <c r="G95" s="50"/>
    </row>
    <row r="96" spans="6:7" x14ac:dyDescent="0.25">
      <c r="F96" s="49"/>
      <c r="G96" s="50"/>
    </row>
    <row r="97" spans="6:7" x14ac:dyDescent="0.25">
      <c r="F97" s="49"/>
      <c r="G97" s="50"/>
    </row>
    <row r="98" spans="6:7" x14ac:dyDescent="0.25">
      <c r="F98" s="49"/>
      <c r="G98" s="50"/>
    </row>
    <row r="99" spans="6:7" x14ac:dyDescent="0.25">
      <c r="F99" s="49"/>
      <c r="G99" s="50"/>
    </row>
    <row r="100" spans="6:7" x14ac:dyDescent="0.25">
      <c r="F100" s="49"/>
      <c r="G100" s="50"/>
    </row>
    <row r="101" spans="6:7" x14ac:dyDescent="0.25">
      <c r="F101" s="49"/>
      <c r="G101" s="50"/>
    </row>
    <row r="102" spans="6:7" x14ac:dyDescent="0.25">
      <c r="F102" s="49"/>
      <c r="G102" s="50"/>
    </row>
    <row r="103" spans="6:7" x14ac:dyDescent="0.25">
      <c r="F103" s="49"/>
      <c r="G103" s="50"/>
    </row>
    <row r="104" spans="6:7" x14ac:dyDescent="0.25">
      <c r="F104" s="49"/>
      <c r="G104" s="50"/>
    </row>
    <row r="105" spans="6:7" x14ac:dyDescent="0.25">
      <c r="F105" s="49"/>
      <c r="G105" s="50"/>
    </row>
    <row r="106" spans="6:7" x14ac:dyDescent="0.25">
      <c r="F106" s="49"/>
      <c r="G106" s="50"/>
    </row>
    <row r="107" spans="6:7" x14ac:dyDescent="0.25">
      <c r="F107" s="49"/>
      <c r="G107" s="50"/>
    </row>
    <row r="108" spans="6:7" x14ac:dyDescent="0.25">
      <c r="F108" s="49"/>
      <c r="G108" s="50"/>
    </row>
    <row r="109" spans="6:7" x14ac:dyDescent="0.25">
      <c r="F109" s="49"/>
      <c r="G109" s="50"/>
    </row>
    <row r="110" spans="6:7" x14ac:dyDescent="0.25">
      <c r="F110" s="49"/>
      <c r="G110" s="50"/>
    </row>
    <row r="111" spans="6:7" x14ac:dyDescent="0.25">
      <c r="F111" s="49"/>
      <c r="G111" s="50"/>
    </row>
    <row r="112" spans="6:7" x14ac:dyDescent="0.25">
      <c r="F112" s="49"/>
      <c r="G112" s="50"/>
    </row>
    <row r="113" spans="6:7" x14ac:dyDescent="0.25">
      <c r="F113" s="49"/>
      <c r="G113" s="50"/>
    </row>
    <row r="114" spans="6:7" x14ac:dyDescent="0.25">
      <c r="F114" s="49"/>
      <c r="G114" s="50"/>
    </row>
    <row r="115" spans="6:7" x14ac:dyDescent="0.25">
      <c r="F115" s="49"/>
      <c r="G115" s="50"/>
    </row>
    <row r="116" spans="6:7" x14ac:dyDescent="0.25">
      <c r="F116" s="49"/>
      <c r="G116" s="50"/>
    </row>
    <row r="117" spans="6:7" x14ac:dyDescent="0.25">
      <c r="F117" s="49"/>
      <c r="G117" s="50"/>
    </row>
    <row r="118" spans="6:7" x14ac:dyDescent="0.25">
      <c r="F118" s="49"/>
      <c r="G118" s="50"/>
    </row>
    <row r="119" spans="6:7" x14ac:dyDescent="0.25">
      <c r="F119" s="49"/>
      <c r="G119" s="50"/>
    </row>
    <row r="120" spans="6:7" x14ac:dyDescent="0.25">
      <c r="F120" s="49"/>
      <c r="G120" s="50"/>
    </row>
    <row r="121" spans="6:7" x14ac:dyDescent="0.25">
      <c r="F121" s="49"/>
      <c r="G121" s="50"/>
    </row>
    <row r="122" spans="6:7" x14ac:dyDescent="0.25">
      <c r="F122" s="49"/>
      <c r="G122" s="50"/>
    </row>
    <row r="123" spans="6:7" x14ac:dyDescent="0.25">
      <c r="F123" s="49"/>
      <c r="G123" s="50"/>
    </row>
    <row r="124" spans="6:7" x14ac:dyDescent="0.25">
      <c r="F124" s="49"/>
      <c r="G124" s="50"/>
    </row>
    <row r="125" spans="6:7" x14ac:dyDescent="0.25">
      <c r="F125" s="49"/>
      <c r="G125" s="50"/>
    </row>
    <row r="126" spans="6:7" x14ac:dyDescent="0.25">
      <c r="F126" s="49"/>
      <c r="G126" s="50"/>
    </row>
    <row r="127" spans="6:7" x14ac:dyDescent="0.25">
      <c r="F127" s="49"/>
      <c r="G127" s="50"/>
    </row>
    <row r="128" spans="6:7" x14ac:dyDescent="0.25">
      <c r="F128" s="49"/>
      <c r="G128" s="50"/>
    </row>
    <row r="129" spans="6:7" x14ac:dyDescent="0.25">
      <c r="F129" s="49"/>
      <c r="G129" s="50"/>
    </row>
    <row r="130" spans="6:7" x14ac:dyDescent="0.25">
      <c r="F130" s="49"/>
      <c r="G130" s="50"/>
    </row>
    <row r="131" spans="6:7" x14ac:dyDescent="0.25">
      <c r="F131" s="49"/>
      <c r="G131" s="50"/>
    </row>
    <row r="132" spans="6:7" x14ac:dyDescent="0.25">
      <c r="F132" s="49"/>
      <c r="G132" s="50"/>
    </row>
    <row r="133" spans="6:7" x14ac:dyDescent="0.25">
      <c r="F133" s="49"/>
      <c r="G133" s="50"/>
    </row>
    <row r="134" spans="6:7" x14ac:dyDescent="0.25">
      <c r="F134" s="49"/>
      <c r="G134" s="50"/>
    </row>
    <row r="135" spans="6:7" x14ac:dyDescent="0.25">
      <c r="F135" s="49"/>
      <c r="G135" s="50"/>
    </row>
    <row r="136" spans="6:7" x14ac:dyDescent="0.25">
      <c r="F136" s="49"/>
      <c r="G136" s="50"/>
    </row>
    <row r="137" spans="6:7" x14ac:dyDescent="0.25">
      <c r="F137" s="49"/>
      <c r="G137" s="50"/>
    </row>
    <row r="138" spans="6:7" x14ac:dyDescent="0.25">
      <c r="F138" s="49"/>
      <c r="G138" s="50"/>
    </row>
    <row r="139" spans="6:7" x14ac:dyDescent="0.25">
      <c r="F139" s="49"/>
      <c r="G139" s="50"/>
    </row>
  </sheetData>
  <autoFilter ref="A1:O37" xr:uid="{00000000-0009-0000-0000-000000000000}"/>
  <mergeCells count="1">
    <mergeCell ref="B41:C41"/>
  </mergeCells>
  <conditionalFormatting sqref="P9:P13 P15:P28 P31 P33 P35:P38">
    <cfRule type="cellIs" dxfId="1" priority="5" operator="greaterThan">
      <formula>0</formula>
    </cfRule>
  </conditionalFormatting>
  <conditionalFormatting sqref="Q2:Q38">
    <cfRule type="cellIs" dxfId="0" priority="1" operator="greaterThan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  <ignoredErrors>
    <ignoredError sqref="O39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Button 5">
              <controlPr defaultSize="0" print="0" autoFill="0" autoPict="0" macro="[0]!Enviar_Email_Compras">
                <anchor moveWithCells="1" sizeWithCells="1">
                  <from>
                    <xdr:col>18</xdr:col>
                    <xdr:colOff>104775</xdr:colOff>
                    <xdr:row>2</xdr:row>
                    <xdr:rowOff>152400</xdr:rowOff>
                  </from>
                  <to>
                    <xdr:col>18</xdr:col>
                    <xdr:colOff>1028700</xdr:colOff>
                    <xdr:row>2</xdr:row>
                    <xdr:rowOff>571500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J7"/>
  <sheetViews>
    <sheetView topLeftCell="E1" zoomScaleNormal="100" workbookViewId="0">
      <selection activeCell="I15" sqref="I15"/>
    </sheetView>
  </sheetViews>
  <sheetFormatPr defaultColWidth="43.85546875" defaultRowHeight="12.75" x14ac:dyDescent="0.2"/>
  <cols>
    <col min="1" max="1" width="7.85546875" customWidth="1"/>
    <col min="2" max="2" width="39.7109375" customWidth="1"/>
    <col min="3" max="3" width="12.5703125" customWidth="1"/>
    <col min="4" max="4" width="19.140625" customWidth="1"/>
    <col min="5" max="5" width="75.42578125" customWidth="1"/>
    <col min="6" max="6" width="15.42578125" customWidth="1"/>
    <col min="7" max="7" width="34.28515625" customWidth="1"/>
    <col min="8" max="8" width="13.28515625" customWidth="1"/>
    <col min="9" max="9" width="27.28515625" customWidth="1"/>
    <col min="10" max="10" width="13.42578125" customWidth="1"/>
  </cols>
  <sheetData>
    <row r="1" spans="1:10" ht="15" x14ac:dyDescent="0.25">
      <c r="A1" s="7" t="s">
        <v>0</v>
      </c>
      <c r="B1" s="8" t="s">
        <v>1</v>
      </c>
      <c r="C1" s="61" t="s">
        <v>2</v>
      </c>
      <c r="D1" s="62" t="s">
        <v>3</v>
      </c>
      <c r="E1" s="63" t="s">
        <v>4</v>
      </c>
      <c r="F1" s="63" t="s">
        <v>5</v>
      </c>
      <c r="G1" s="63" t="s">
        <v>6</v>
      </c>
      <c r="H1" s="13" t="s">
        <v>91</v>
      </c>
      <c r="I1" s="63" t="s">
        <v>92</v>
      </c>
      <c r="J1" s="64" t="s">
        <v>93</v>
      </c>
    </row>
    <row r="2" spans="1:10" ht="15" x14ac:dyDescent="0.2">
      <c r="A2" s="65" t="s">
        <v>19</v>
      </c>
      <c r="B2" s="66" t="s">
        <v>19</v>
      </c>
      <c r="C2" s="67" t="s">
        <v>32</v>
      </c>
      <c r="D2" s="68" t="s">
        <v>94</v>
      </c>
      <c r="E2" s="69" t="s">
        <v>95</v>
      </c>
      <c r="F2" s="43">
        <v>1</v>
      </c>
      <c r="G2" s="48">
        <v>16</v>
      </c>
      <c r="H2" s="70" t="s">
        <v>17</v>
      </c>
      <c r="I2" s="71">
        <v>949.04</v>
      </c>
      <c r="J2" s="72" t="s">
        <v>23</v>
      </c>
    </row>
    <row r="3" spans="1:10" ht="15" x14ac:dyDescent="0.2">
      <c r="A3" s="16" t="s">
        <v>19</v>
      </c>
      <c r="B3" s="17" t="s">
        <v>19</v>
      </c>
      <c r="C3" s="73" t="s">
        <v>43</v>
      </c>
      <c r="D3" s="74" t="s">
        <v>25</v>
      </c>
      <c r="E3" s="19" t="s">
        <v>96</v>
      </c>
      <c r="F3" s="20">
        <v>11</v>
      </c>
      <c r="G3" s="27">
        <v>30</v>
      </c>
      <c r="H3" s="75" t="s">
        <v>16</v>
      </c>
      <c r="I3" s="76">
        <v>12056</v>
      </c>
      <c r="J3" s="77" t="s">
        <v>23</v>
      </c>
    </row>
    <row r="4" spans="1:10" ht="15" x14ac:dyDescent="0.2">
      <c r="A4" s="16" t="s">
        <v>19</v>
      </c>
      <c r="B4" s="17" t="s">
        <v>19</v>
      </c>
      <c r="C4" s="73" t="s">
        <v>97</v>
      </c>
      <c r="D4" s="74" t="s">
        <v>25</v>
      </c>
      <c r="E4" s="19" t="s">
        <v>98</v>
      </c>
      <c r="F4" s="20">
        <v>11</v>
      </c>
      <c r="G4" s="27">
        <v>11</v>
      </c>
      <c r="H4" s="75" t="s">
        <v>8</v>
      </c>
      <c r="I4" s="78">
        <v>3419.4</v>
      </c>
      <c r="J4" s="77">
        <v>3353</v>
      </c>
    </row>
    <row r="5" spans="1:10" ht="15" x14ac:dyDescent="0.2">
      <c r="A5" s="16" t="s">
        <v>19</v>
      </c>
      <c r="B5" s="17" t="s">
        <v>19</v>
      </c>
      <c r="C5" s="79" t="s">
        <v>99</v>
      </c>
      <c r="D5" s="74" t="s">
        <v>25</v>
      </c>
      <c r="E5" s="19" t="s">
        <v>100</v>
      </c>
      <c r="F5" s="20">
        <v>23</v>
      </c>
      <c r="G5" s="27">
        <v>21</v>
      </c>
      <c r="H5" s="75" t="s">
        <v>8</v>
      </c>
      <c r="I5" s="80">
        <v>19740.91</v>
      </c>
      <c r="J5" s="77" t="s">
        <v>23</v>
      </c>
    </row>
    <row r="6" spans="1:10" ht="30" x14ac:dyDescent="0.2">
      <c r="A6" s="31" t="s">
        <v>19</v>
      </c>
      <c r="B6" s="32" t="s">
        <v>19</v>
      </c>
      <c r="C6" s="79" t="s">
        <v>101</v>
      </c>
      <c r="D6" s="74" t="s">
        <v>30</v>
      </c>
      <c r="E6" s="19" t="s">
        <v>102</v>
      </c>
      <c r="F6" s="20" t="s">
        <v>103</v>
      </c>
      <c r="G6" s="27" t="s">
        <v>104</v>
      </c>
      <c r="H6" s="75" t="s">
        <v>18</v>
      </c>
      <c r="I6" s="80">
        <v>920</v>
      </c>
      <c r="J6" s="77" t="s">
        <v>23</v>
      </c>
    </row>
    <row r="7" spans="1:10" ht="15" x14ac:dyDescent="0.2">
      <c r="A7" s="73" t="s">
        <v>19</v>
      </c>
      <c r="B7" s="74" t="s">
        <v>19</v>
      </c>
      <c r="C7" s="17" t="s">
        <v>101</v>
      </c>
      <c r="D7" s="74" t="s">
        <v>30</v>
      </c>
      <c r="E7" s="19" t="s">
        <v>105</v>
      </c>
      <c r="F7" s="20" t="s">
        <v>106</v>
      </c>
      <c r="G7" s="27" t="s">
        <v>76</v>
      </c>
      <c r="H7" s="75" t="s">
        <v>14</v>
      </c>
      <c r="I7" s="80">
        <v>364</v>
      </c>
      <c r="J7" s="77" t="s">
        <v>23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CONSOLIDADO</vt:lpstr>
      <vt:lpstr>LICENÇAS_ANUAL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 Irton</dc:creator>
  <dc:description/>
  <cp:lastModifiedBy>crallopes2024@hotmail.com</cp:lastModifiedBy>
  <cp:revision>117</cp:revision>
  <dcterms:created xsi:type="dcterms:W3CDTF">2021-12-27T20:18:00Z</dcterms:created>
  <dcterms:modified xsi:type="dcterms:W3CDTF">2026-08-25T13:02:53Z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1FD21239FD76428090469023E9FD4E63_12</vt:lpwstr>
  </property>
  <property fmtid="{D5CDD505-2E9C-101B-9397-08002B2CF9AE}" pid="3" name="KSOProductBuildVer">
    <vt:lpwstr>1046-12.2.0.13431</vt:lpwstr>
  </property>
  <property fmtid="{D5CDD505-2E9C-101B-9397-08002B2CF9AE}" pid="4" name="MSIP_Label_defa4170-0d19-0005-0004-bc88714345d2_ActionId">
    <vt:lpwstr>780e4a15-8e42-4f1f-b415-3b503b1e970b</vt:lpwstr>
  </property>
  <property fmtid="{D5CDD505-2E9C-101B-9397-08002B2CF9AE}" pid="5" name="MSIP_Label_defa4170-0d19-0005-0004-bc88714345d2_ContentBits">
    <vt:lpwstr>0</vt:lpwstr>
  </property>
  <property fmtid="{D5CDD505-2E9C-101B-9397-08002B2CF9AE}" pid="6" name="MSIP_Label_defa4170-0d19-0005-0004-bc88714345d2_Enabled">
    <vt:lpwstr>true</vt:lpwstr>
  </property>
  <property fmtid="{D5CDD505-2E9C-101B-9397-08002B2CF9AE}" pid="7" name="MSIP_Label_defa4170-0d19-0005-0004-bc88714345d2_Method">
    <vt:lpwstr>Standard</vt:lpwstr>
  </property>
  <property fmtid="{D5CDD505-2E9C-101B-9397-08002B2CF9AE}" pid="8" name="MSIP_Label_defa4170-0d19-0005-0004-bc88714345d2_Name">
    <vt:lpwstr>defa4170-0d19-0005-0004-bc88714345d2</vt:lpwstr>
  </property>
  <property fmtid="{D5CDD505-2E9C-101B-9397-08002B2CF9AE}" pid="9" name="MSIP_Label_defa4170-0d19-0005-0004-bc88714345d2_SetDate">
    <vt:lpwstr>2022-12-29T13:11:14Z</vt:lpwstr>
  </property>
  <property fmtid="{D5CDD505-2E9C-101B-9397-08002B2CF9AE}" pid="10" name="MSIP_Label_defa4170-0d19-0005-0004-bc88714345d2_SiteId">
    <vt:lpwstr>e698f9c2-b9da-43e3-bb84-ec3c087d4c6d</vt:lpwstr>
  </property>
</Properties>
</file>